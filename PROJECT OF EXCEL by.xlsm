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workbookProtection workbookPassword="C47E" lockStructure="1"/>
  <bookViews>
    <workbookView xWindow="0" yWindow="0" windowWidth="22260" windowHeight="12645" firstSheet="1" activeTab="1"/>
  </bookViews>
  <sheets>
    <sheet name="COVER-PAGE" sheetId="1" r:id="rId1"/>
    <sheet name="HOME-PAGE" sheetId="9" r:id="rId2"/>
    <sheet name="BIKE Information" sheetId="4" r:id="rId3"/>
    <sheet name="Purchase Information" sheetId="5" r:id="rId4"/>
    <sheet name="Sale Information" sheetId="6" r:id="rId5"/>
    <sheet name="Stock Information" sheetId="7" r:id="rId6"/>
    <sheet name="Report of Purchase Information" sheetId="12" r:id="rId7"/>
    <sheet name="Report of Sale Information" sheetId="13" r:id="rId8"/>
    <sheet name="Report of Stock Information" sheetId="14" r:id="rId9"/>
  </sheets>
  <definedNames>
    <definedName name="_xlnm.Print_Area" localSheetId="6">'Report of Purchase Information'!$A$1:$J$27</definedName>
    <definedName name="_xlnm.Print_Area" localSheetId="7">'Report of Sale Information'!$A$1:$J$29</definedName>
    <definedName name="_xlnm.Print_Area" localSheetId="8">'Report of Stock Information'!$A$1:$H$29</definedName>
  </definedNames>
  <calcPr calcId="162913"/>
  <pivotCaches>
    <pivotCache cacheId="0" r:id="rId10"/>
    <pivotCache cacheId="1" r:id="rId11"/>
    <pivotCache cacheId="2" r:id="rId1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5" i="4" l="1"/>
  <c r="K16" i="4"/>
  <c r="K17" i="4"/>
  <c r="K18" i="4"/>
  <c r="K19" i="4"/>
  <c r="K20" i="4"/>
  <c r="K21" i="4"/>
  <c r="K22" i="4"/>
  <c r="K23" i="4"/>
  <c r="K14" i="4"/>
  <c r="I19" i="5" l="1"/>
  <c r="I20" i="5"/>
  <c r="I21" i="5"/>
  <c r="I22" i="5"/>
  <c r="I23" i="5"/>
  <c r="J15" i="7" l="1"/>
  <c r="J16" i="7"/>
  <c r="J17" i="7"/>
  <c r="J18" i="7"/>
  <c r="J19" i="7"/>
  <c r="J20" i="7"/>
  <c r="J21" i="7"/>
  <c r="J22" i="7"/>
  <c r="J23" i="7"/>
  <c r="J14" i="7"/>
  <c r="I14" i="7"/>
  <c r="H19" i="7"/>
  <c r="H20" i="7"/>
  <c r="H21" i="7"/>
  <c r="H22" i="7"/>
  <c r="H23" i="7"/>
  <c r="G19" i="7"/>
  <c r="G20" i="7"/>
  <c r="G21" i="7"/>
  <c r="G22" i="7"/>
  <c r="G23" i="7"/>
  <c r="F19" i="7"/>
  <c r="F20" i="7"/>
  <c r="F21" i="7"/>
  <c r="F22" i="7"/>
  <c r="F23" i="7"/>
  <c r="E15" i="4"/>
  <c r="E16" i="4"/>
  <c r="I17" i="5" s="1"/>
  <c r="E17" i="4"/>
  <c r="I18" i="5" s="1"/>
  <c r="E18" i="4"/>
  <c r="E19" i="4"/>
  <c r="E20" i="4"/>
  <c r="E21" i="4"/>
  <c r="E22" i="4"/>
  <c r="E23" i="4"/>
  <c r="K18" i="6"/>
  <c r="M18" i="6" s="1"/>
  <c r="K19" i="6"/>
  <c r="M19" i="6" s="1"/>
  <c r="K20" i="6"/>
  <c r="M20" i="6" s="1"/>
  <c r="K21" i="6"/>
  <c r="M21" i="6" s="1"/>
  <c r="K22" i="6"/>
  <c r="M22" i="6" s="1"/>
  <c r="J18" i="6"/>
  <c r="J19" i="6"/>
  <c r="J20" i="6"/>
  <c r="J21" i="6"/>
  <c r="J22" i="6"/>
  <c r="I18" i="6"/>
  <c r="I19" i="6"/>
  <c r="I20" i="6"/>
  <c r="I21" i="6"/>
  <c r="I22" i="6"/>
  <c r="H18" i="6"/>
  <c r="H19" i="6"/>
  <c r="H20" i="6"/>
  <c r="H21" i="6"/>
  <c r="H22" i="6"/>
  <c r="E14" i="6"/>
  <c r="E15" i="6"/>
  <c r="E16" i="6"/>
  <c r="E17" i="6"/>
  <c r="E18" i="6"/>
  <c r="E19" i="6"/>
  <c r="E20" i="6"/>
  <c r="E21" i="6"/>
  <c r="E22" i="6"/>
  <c r="E13" i="6"/>
  <c r="G16" i="7" l="1"/>
  <c r="G17" i="7"/>
  <c r="F18" i="7"/>
  <c r="H18" i="7"/>
  <c r="I16" i="5"/>
  <c r="F17" i="7"/>
  <c r="H17" i="7"/>
  <c r="F16" i="7"/>
  <c r="G18" i="7"/>
  <c r="H16" i="7"/>
  <c r="K14" i="7"/>
  <c r="K21" i="5"/>
  <c r="M21" i="5" s="1"/>
  <c r="K22" i="5"/>
  <c r="M22" i="5" s="1"/>
  <c r="K23" i="5"/>
  <c r="M23" i="5" s="1"/>
  <c r="H21" i="5"/>
  <c r="I21" i="7" s="1"/>
  <c r="K21" i="7" s="1"/>
  <c r="H22" i="5"/>
  <c r="I22" i="7" s="1"/>
  <c r="K22" i="7" s="1"/>
  <c r="H23" i="5"/>
  <c r="I23" i="7" s="1"/>
  <c r="K23" i="7" s="1"/>
  <c r="J21" i="5"/>
  <c r="J22" i="5"/>
  <c r="J23" i="5"/>
  <c r="H20" i="5"/>
  <c r="E14" i="5"/>
  <c r="H19" i="5" l="1"/>
  <c r="I19" i="7" s="1"/>
  <c r="K19" i="7" s="1"/>
  <c r="K19" i="5"/>
  <c r="M19" i="5" s="1"/>
  <c r="J20" i="5"/>
  <c r="K20" i="5"/>
  <c r="M20" i="5" s="1"/>
  <c r="I20" i="7" s="1"/>
  <c r="K20" i="7" s="1"/>
  <c r="J19" i="5"/>
  <c r="E15" i="5"/>
  <c r="E16" i="5"/>
  <c r="E17" i="5"/>
  <c r="E18" i="5"/>
  <c r="E19" i="5"/>
  <c r="E20" i="5"/>
  <c r="E21" i="5"/>
  <c r="E22" i="5"/>
  <c r="E23" i="5"/>
  <c r="H17" i="6"/>
  <c r="K16" i="5"/>
  <c r="M16" i="5" s="1"/>
  <c r="H17" i="5"/>
  <c r="E14" i="4"/>
  <c r="H15" i="5" l="1"/>
  <c r="I14" i="5"/>
  <c r="I15" i="5"/>
  <c r="H14" i="7"/>
  <c r="F14" i="7"/>
  <c r="G15" i="7"/>
  <c r="G14" i="7"/>
  <c r="H15" i="7"/>
  <c r="F15" i="7"/>
  <c r="K16" i="6"/>
  <c r="M16" i="6" s="1"/>
  <c r="H15" i="6"/>
  <c r="K15" i="6"/>
  <c r="M15" i="6" s="1"/>
  <c r="I17" i="6"/>
  <c r="J16" i="5"/>
  <c r="H14" i="6"/>
  <c r="H16" i="5"/>
  <c r="J14" i="6"/>
  <c r="J13" i="6"/>
  <c r="K17" i="5"/>
  <c r="M17" i="5" s="1"/>
  <c r="K18" i="5"/>
  <c r="M18" i="5" s="1"/>
  <c r="J15" i="6"/>
  <c r="J17" i="6"/>
  <c r="J14" i="5"/>
  <c r="K14" i="6"/>
  <c r="M14" i="6" s="1"/>
  <c r="H14" i="5"/>
  <c r="J16" i="6"/>
  <c r="J17" i="5"/>
  <c r="K13" i="6"/>
  <c r="M13" i="6" s="1"/>
  <c r="K14" i="5"/>
  <c r="M14" i="5" s="1"/>
  <c r="K17" i="6"/>
  <c r="M17" i="6" s="1"/>
  <c r="I15" i="6"/>
  <c r="H18" i="5"/>
  <c r="I18" i="7" s="1"/>
  <c r="K18" i="7" s="1"/>
  <c r="I13" i="6"/>
  <c r="J15" i="5"/>
  <c r="H16" i="6"/>
  <c r="I16" i="6"/>
  <c r="K15" i="5"/>
  <c r="M15" i="5" s="1"/>
  <c r="J18" i="5"/>
  <c r="I14" i="6"/>
  <c r="H13" i="6"/>
  <c r="I17" i="7" l="1"/>
  <c r="K17" i="7" s="1"/>
  <c r="I16" i="7"/>
  <c r="K16" i="7" s="1"/>
  <c r="I15" i="7"/>
  <c r="K15" i="7" s="1"/>
</calcChain>
</file>

<file path=xl/sharedStrings.xml><?xml version="1.0" encoding="utf-8"?>
<sst xmlns="http://schemas.openxmlformats.org/spreadsheetml/2006/main" count="127" uniqueCount="51">
  <si>
    <t>HOME-PAGE</t>
  </si>
  <si>
    <t>Final Project of MS EXCEL</t>
  </si>
  <si>
    <t>topic: bike show room</t>
  </si>
  <si>
    <t>Introduction:</t>
  </si>
  <si>
    <t>PARTNER no.1</t>
  </si>
  <si>
    <t>PARTNER no.2</t>
  </si>
  <si>
    <t>Name:</t>
  </si>
  <si>
    <t>Father Name:</t>
  </si>
  <si>
    <t>Registration Code</t>
  </si>
  <si>
    <t>Class</t>
  </si>
  <si>
    <t xml:space="preserve">Father Name: </t>
  </si>
  <si>
    <t>BADAR RASHEED</t>
  </si>
  <si>
    <t>M.RASHEED</t>
  </si>
  <si>
    <t>S4B-94-223</t>
  </si>
  <si>
    <t>Solution 4 Beginners</t>
  </si>
  <si>
    <t>Instructor:</t>
  </si>
  <si>
    <t>SIR SHERAZ ZAFAR IQBAL</t>
  </si>
  <si>
    <t>Bike ID</t>
  </si>
  <si>
    <t>Bike Modal</t>
  </si>
  <si>
    <t>Bike Color</t>
  </si>
  <si>
    <t>Bike Company</t>
  </si>
  <si>
    <t>Purchase Price</t>
  </si>
  <si>
    <t>Profit Margin</t>
  </si>
  <si>
    <t>Sale Price</t>
  </si>
  <si>
    <t>RED</t>
  </si>
  <si>
    <t>BLACK</t>
  </si>
  <si>
    <t>GRAY</t>
  </si>
  <si>
    <t>HONDA</t>
  </si>
  <si>
    <t>SUZUKI</t>
  </si>
  <si>
    <t>KAWASAKI</t>
  </si>
  <si>
    <t>Purchase ID</t>
  </si>
  <si>
    <t>Purchase Date</t>
  </si>
  <si>
    <t>QTY</t>
  </si>
  <si>
    <t>Total Amount</t>
  </si>
  <si>
    <t>UNITED</t>
  </si>
  <si>
    <t>SOHRAB</t>
  </si>
  <si>
    <t>Sale ID</t>
  </si>
  <si>
    <t>Sale Date</t>
  </si>
  <si>
    <t>Total Purchase QTY</t>
  </si>
  <si>
    <t>Total Sale QTY</t>
  </si>
  <si>
    <t>Available QTY</t>
  </si>
  <si>
    <t>(All)</t>
  </si>
  <si>
    <t>Grand Total</t>
  </si>
  <si>
    <t>Sum of Total Amount</t>
  </si>
  <si>
    <t>Sum of Available QTY</t>
  </si>
  <si>
    <t>Sum of Total Purchase QTY</t>
  </si>
  <si>
    <t>Sum of Total Sale QTY</t>
  </si>
  <si>
    <t>S4B-94-208</t>
  </si>
  <si>
    <t>Ghulam Sarwar Awan</t>
  </si>
  <si>
    <t>Muaz Ahmed Awan</t>
  </si>
  <si>
    <t>Sum of QTY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</si>
</sst>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&quot;Rs&quot;######################"/>
    <numFmt numFmtId="165" formatCode="&quot;Rs&quot;#######################"/>
    <numFmt numFmtId="166" formatCode="dd\-mmm\-yy\-ddd"/>
    <numFmt numFmtId="167" formatCode="&quot;Rs&quot;###################"/>
    <numFmt numFmtId="168" formatCode="&quot;Rs&quot;####################"/>
    <numFmt numFmtId="169" formatCode="&quot;Rs&quot;########################"/>
    <numFmt numFmtId="170" formatCode="&quot;Rs&quot;#########################"/>
    <numFmt numFmtId="171" formatCode="&quot;Rs&quot;##############"/>
    <numFmt numFmtId="172" formatCode="###%"/>
  </numFmts>
  <fonts count="22">
    <font>
      <sz val="11"/>
      <color theme="1"/>
      <name val="Calibri"/>
      <family val="2"/>
      <scheme val="minor"/>
    </font>
    <font>
      <b/>
      <sz val="12"/>
      <color theme="1"/>
      <name val="Arial Black"/>
      <family val="2"/>
    </font>
    <font>
      <sz val="16"/>
      <color theme="1"/>
      <name val="Algerian"/>
      <family val="5"/>
    </font>
    <font>
      <b/>
      <sz val="26"/>
      <color theme="1"/>
      <name val="Times New Roman"/>
      <family val="1"/>
    </font>
    <font>
      <b/>
      <sz val="12"/>
      <color rgb="FFFF0000"/>
      <name val="Arial Black"/>
      <family val="2"/>
    </font>
    <font>
      <b/>
      <sz val="12"/>
      <color rgb="FFFF0000"/>
      <name val="Times New Roman"/>
      <family val="1"/>
    </font>
    <font>
      <b/>
      <sz val="36"/>
      <color rgb="FFFF0000"/>
      <name val="Times New Roman"/>
      <family val="1"/>
    </font>
    <font>
      <b/>
      <sz val="36"/>
      <color theme="1"/>
      <name val="Times New Roman"/>
      <family val="1"/>
    </font>
    <font>
      <sz val="24"/>
      <color rgb="FFFFFF00"/>
      <name val="Arial Black"/>
      <family val="2"/>
    </font>
    <font>
      <b/>
      <sz val="24"/>
      <color rgb="FFFF0000"/>
      <name val="Arial Black"/>
      <family val="2"/>
    </font>
    <font>
      <sz val="24"/>
      <color rgb="FFFF0000"/>
      <name val="Arial Black"/>
      <family val="2"/>
    </font>
    <font>
      <b/>
      <sz val="18"/>
      <color rgb="FFFF0000"/>
      <name val="Times New Roman"/>
      <family val="1"/>
    </font>
    <font>
      <b/>
      <sz val="18"/>
      <color rgb="FFFF0000"/>
      <name val="Ttim"/>
    </font>
    <font>
      <b/>
      <sz val="36"/>
      <color rgb="FFFF0000"/>
      <name val="Arial Black"/>
      <family val="2"/>
    </font>
    <font>
      <b/>
      <sz val="22"/>
      <name val="Times New Roman"/>
      <family val="1"/>
    </font>
    <font>
      <sz val="11"/>
      <color theme="1"/>
      <name val="Times New Roman"/>
      <family val="1"/>
    </font>
    <font>
      <b/>
      <sz val="22"/>
      <color rgb="FFFF0000"/>
      <name val="Arial Narrow"/>
      <family val="2"/>
    </font>
    <font>
      <b/>
      <sz val="11"/>
      <color theme="1"/>
      <name val="Arial Black"/>
      <family val="2"/>
    </font>
    <font>
      <sz val="11"/>
      <color theme="1"/>
      <name val="Arial Black"/>
      <family val="2"/>
    </font>
    <font>
      <sz val="11"/>
      <color theme="1"/>
      <name val="Times New Roman"/>
      <family val="1"/>
    </font>
    <font>
      <b/>
      <sz val="11"/>
      <color theme="1"/>
      <name val="Arial Black"/>
      <family val="2"/>
    </font>
    <font>
      <sz val="11"/>
      <color theme="1"/>
      <name val="Arial Black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6FFFF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ck">
        <color rgb="FF92D050"/>
      </left>
      <right/>
      <top style="thick">
        <color rgb="FF92D050"/>
      </top>
      <bottom/>
      <diagonal/>
    </border>
    <border>
      <left/>
      <right/>
      <top style="thick">
        <color rgb="FF92D050"/>
      </top>
      <bottom/>
      <diagonal/>
    </border>
    <border>
      <left/>
      <right style="thick">
        <color rgb="FF92D050"/>
      </right>
      <top style="thick">
        <color rgb="FF92D050"/>
      </top>
      <bottom/>
      <diagonal/>
    </border>
    <border>
      <left style="thick">
        <color rgb="FF92D050"/>
      </left>
      <right/>
      <top/>
      <bottom/>
      <diagonal/>
    </border>
    <border>
      <left/>
      <right style="thick">
        <color rgb="FF92D050"/>
      </right>
      <top/>
      <bottom/>
      <diagonal/>
    </border>
    <border>
      <left style="thick">
        <color rgb="FF92D050"/>
      </left>
      <right/>
      <top/>
      <bottom style="thick">
        <color rgb="FF92D050"/>
      </bottom>
      <diagonal/>
    </border>
    <border>
      <left/>
      <right/>
      <top/>
      <bottom style="thick">
        <color rgb="FF92D050"/>
      </bottom>
      <diagonal/>
    </border>
    <border>
      <left/>
      <right style="thick">
        <color rgb="FF92D050"/>
      </right>
      <top/>
      <bottom style="thick">
        <color rgb="FF92D050"/>
      </bottom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7030A0"/>
      </left>
      <right/>
      <top style="medium">
        <color rgb="FF7030A0"/>
      </top>
      <bottom style="thin">
        <color indexed="64"/>
      </bottom>
      <diagonal/>
    </border>
    <border>
      <left/>
      <right/>
      <top style="medium">
        <color rgb="FF7030A0"/>
      </top>
      <bottom style="thin">
        <color indexed="64"/>
      </bottom>
      <diagonal/>
    </border>
    <border>
      <left/>
      <right style="medium">
        <color indexed="64"/>
      </right>
      <top style="medium">
        <color rgb="FF7030A0"/>
      </top>
      <bottom style="thin">
        <color indexed="64"/>
      </bottom>
      <diagonal/>
    </border>
    <border>
      <left style="medium">
        <color indexed="64"/>
      </left>
      <right/>
      <top style="medium">
        <color rgb="FF7030A0"/>
      </top>
      <bottom style="thin">
        <color indexed="64"/>
      </bottom>
      <diagonal/>
    </border>
    <border>
      <left/>
      <right style="medium">
        <color rgb="FF7030A0"/>
      </right>
      <top style="medium">
        <color rgb="FF7030A0"/>
      </top>
      <bottom style="thin">
        <color indexed="64"/>
      </bottom>
      <diagonal/>
    </border>
    <border>
      <left style="medium">
        <color rgb="FF7030A0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7030A0"/>
      </right>
      <top style="thin">
        <color indexed="64"/>
      </top>
      <bottom style="thin">
        <color indexed="64"/>
      </bottom>
      <diagonal/>
    </border>
    <border>
      <left style="medium">
        <color rgb="FF7030A0"/>
      </left>
      <right/>
      <top style="thin">
        <color indexed="64"/>
      </top>
      <bottom style="medium">
        <color rgb="FF7030A0"/>
      </bottom>
      <diagonal/>
    </border>
    <border>
      <left/>
      <right/>
      <top style="thin">
        <color indexed="64"/>
      </top>
      <bottom style="medium">
        <color rgb="FF7030A0"/>
      </bottom>
      <diagonal/>
    </border>
    <border>
      <left/>
      <right style="medium">
        <color indexed="64"/>
      </right>
      <top style="thin">
        <color indexed="64"/>
      </top>
      <bottom style="medium">
        <color rgb="FF7030A0"/>
      </bottom>
      <diagonal/>
    </border>
    <border>
      <left style="medium">
        <color indexed="64"/>
      </left>
      <right/>
      <top style="thin">
        <color indexed="64"/>
      </top>
      <bottom style="medium">
        <color rgb="FF7030A0"/>
      </bottom>
      <diagonal/>
    </border>
    <border>
      <left/>
      <right style="medium">
        <color rgb="FF7030A0"/>
      </right>
      <top style="thin">
        <color indexed="64"/>
      </top>
      <bottom style="medium">
        <color rgb="FF7030A0"/>
      </bottom>
      <diagonal/>
    </border>
  </borders>
  <cellStyleXfs count="1">
    <xf numFmtId="0" fontId="0" fillId="0" borderId="0"/>
  </cellStyleXfs>
  <cellXfs count="189">
    <xf numFmtId="0" fontId="0" fillId="0" borderId="0" xfId="0"/>
    <xf numFmtId="0" fontId="0" fillId="2" borderId="0" xfId="0" applyFont="1" applyFill="1"/>
    <xf numFmtId="0" fontId="0" fillId="2" borderId="0" xfId="0" applyFont="1" applyFill="1" applyAlignment="1">
      <alignment vertical="center"/>
    </xf>
    <xf numFmtId="0" fontId="3" fillId="2" borderId="0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vertical="center"/>
    </xf>
    <xf numFmtId="0" fontId="0" fillId="0" borderId="0" xfId="0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8" fontId="0" fillId="0" borderId="0" xfId="0" applyNumberFormat="1" applyBorder="1"/>
    <xf numFmtId="0" fontId="0" fillId="0" borderId="0" xfId="0" applyFill="1"/>
    <xf numFmtId="0" fontId="0" fillId="0" borderId="0" xfId="0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5" fillId="3" borderId="21" xfId="0" applyFont="1" applyFill="1" applyBorder="1" applyAlignment="1">
      <alignment horizontal="center" vertical="center"/>
    </xf>
    <xf numFmtId="0" fontId="5" fillId="3" borderId="22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Fill="1" applyAlignment="1">
      <alignment wrapText="1"/>
    </xf>
    <xf numFmtId="0" fontId="18" fillId="0" borderId="0" xfId="0" applyFont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18" fillId="0" borderId="0" xfId="0" applyFont="1" applyFill="1"/>
    <xf numFmtId="0" fontId="17" fillId="0" borderId="0" xfId="0" applyFont="1" applyFill="1" applyAlignment="1">
      <alignment horizontal="center" vertical="center"/>
    </xf>
    <xf numFmtId="0" fontId="18" fillId="0" borderId="0" xfId="0" applyNumberFormat="1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9" fillId="0" borderId="0" xfId="0" applyNumberFormat="1" applyFont="1" applyFill="1" applyAlignment="1">
      <alignment horizontal="center" vertical="center"/>
    </xf>
    <xf numFmtId="0" fontId="0" fillId="0" borderId="0" xfId="0" applyBorder="1"/>
    <xf numFmtId="0" fontId="0" fillId="2" borderId="0" xfId="0" applyFont="1" applyFill="1" applyBorder="1"/>
    <xf numFmtId="0" fontId="19" fillId="2" borderId="18" xfId="0" applyFont="1" applyFill="1" applyBorder="1" applyAlignment="1">
      <alignment horizontal="center" vertical="center"/>
    </xf>
    <xf numFmtId="0" fontId="19" fillId="2" borderId="19" xfId="0" applyFont="1" applyFill="1" applyBorder="1" applyAlignment="1">
      <alignment horizontal="center" vertical="center"/>
    </xf>
    <xf numFmtId="164" fontId="19" fillId="2" borderId="19" xfId="0" applyNumberFormat="1" applyFont="1" applyFill="1" applyBorder="1" applyAlignment="1">
      <alignment horizontal="center" vertical="center"/>
    </xf>
    <xf numFmtId="172" fontId="19" fillId="2" borderId="19" xfId="0" applyNumberFormat="1" applyFont="1" applyFill="1" applyBorder="1" applyAlignment="1">
      <alignment horizontal="center" vertical="center"/>
    </xf>
    <xf numFmtId="165" fontId="19" fillId="2" borderId="20" xfId="0" applyNumberFormat="1" applyFont="1" applyFill="1" applyBorder="1" applyAlignment="1">
      <alignment horizontal="center" vertical="center"/>
    </xf>
    <xf numFmtId="0" fontId="19" fillId="2" borderId="10" xfId="0" applyFont="1" applyFill="1" applyBorder="1" applyAlignment="1">
      <alignment horizontal="center" vertical="center"/>
    </xf>
    <xf numFmtId="0" fontId="19" fillId="2" borderId="9" xfId="0" applyFont="1" applyFill="1" applyBorder="1" applyAlignment="1">
      <alignment horizontal="center" vertical="center"/>
    </xf>
    <xf numFmtId="164" fontId="19" fillId="2" borderId="9" xfId="0" applyNumberFormat="1" applyFont="1" applyFill="1" applyBorder="1" applyAlignment="1">
      <alignment horizontal="center" vertical="center"/>
    </xf>
    <xf numFmtId="172" fontId="19" fillId="2" borderId="9" xfId="0" applyNumberFormat="1" applyFont="1" applyFill="1" applyBorder="1" applyAlignment="1">
      <alignment horizontal="center" vertical="center"/>
    </xf>
    <xf numFmtId="0" fontId="19" fillId="2" borderId="17" xfId="0" applyFont="1" applyFill="1" applyBorder="1" applyAlignment="1">
      <alignment horizontal="center" vertical="center"/>
    </xf>
    <xf numFmtId="0" fontId="19" fillId="2" borderId="12" xfId="0" applyFont="1" applyFill="1" applyBorder="1" applyAlignment="1">
      <alignment horizontal="center" vertical="center"/>
    </xf>
    <xf numFmtId="164" fontId="19" fillId="2" borderId="12" xfId="0" applyNumberFormat="1" applyFont="1" applyFill="1" applyBorder="1" applyAlignment="1">
      <alignment horizontal="center" vertical="center"/>
    </xf>
    <xf numFmtId="172" fontId="19" fillId="2" borderId="12" xfId="0" applyNumberFormat="1" applyFont="1" applyFill="1" applyBorder="1" applyAlignment="1">
      <alignment horizontal="center" vertical="center"/>
    </xf>
    <xf numFmtId="166" fontId="19" fillId="2" borderId="19" xfId="0" applyNumberFormat="1" applyFont="1" applyFill="1" applyBorder="1" applyAlignment="1">
      <alignment horizontal="center" vertical="center"/>
    </xf>
    <xf numFmtId="0" fontId="19" fillId="2" borderId="19" xfId="0" applyNumberFormat="1" applyFont="1" applyFill="1" applyBorder="1" applyAlignment="1">
      <alignment horizontal="center" vertical="center"/>
    </xf>
    <xf numFmtId="167" fontId="19" fillId="2" borderId="19" xfId="0" applyNumberFormat="1" applyFont="1" applyFill="1" applyBorder="1" applyAlignment="1">
      <alignment horizontal="center" vertical="center"/>
    </xf>
    <xf numFmtId="168" fontId="19" fillId="2" borderId="20" xfId="0" applyNumberFormat="1" applyFont="1" applyFill="1" applyBorder="1" applyAlignment="1">
      <alignment horizontal="center" vertical="center"/>
    </xf>
    <xf numFmtId="166" fontId="19" fillId="2" borderId="9" xfId="0" applyNumberFormat="1" applyFont="1" applyFill="1" applyBorder="1" applyAlignment="1">
      <alignment horizontal="center" vertical="center"/>
    </xf>
    <xf numFmtId="0" fontId="19" fillId="2" borderId="9" xfId="0" applyNumberFormat="1" applyFont="1" applyFill="1" applyBorder="1" applyAlignment="1">
      <alignment horizontal="center" vertical="center"/>
    </xf>
    <xf numFmtId="167" fontId="19" fillId="2" borderId="9" xfId="0" applyNumberFormat="1" applyFont="1" applyFill="1" applyBorder="1" applyAlignment="1">
      <alignment horizontal="center" vertical="center"/>
    </xf>
    <xf numFmtId="168" fontId="19" fillId="2" borderId="11" xfId="0" applyNumberFormat="1" applyFont="1" applyFill="1" applyBorder="1" applyAlignment="1">
      <alignment horizontal="center" vertical="center"/>
    </xf>
    <xf numFmtId="166" fontId="19" fillId="2" borderId="12" xfId="0" applyNumberFormat="1" applyFont="1" applyFill="1" applyBorder="1" applyAlignment="1">
      <alignment horizontal="center" vertical="center"/>
    </xf>
    <xf numFmtId="0" fontId="19" fillId="2" borderId="12" xfId="0" applyNumberFormat="1" applyFont="1" applyFill="1" applyBorder="1" applyAlignment="1">
      <alignment horizontal="center" vertical="center"/>
    </xf>
    <xf numFmtId="167" fontId="19" fillId="2" borderId="12" xfId="0" applyNumberFormat="1" applyFont="1" applyFill="1" applyBorder="1" applyAlignment="1">
      <alignment horizontal="center" vertical="center"/>
    </xf>
    <xf numFmtId="168" fontId="19" fillId="2" borderId="13" xfId="0" applyNumberFormat="1" applyFont="1" applyFill="1" applyBorder="1" applyAlignment="1">
      <alignment horizontal="center" vertical="center"/>
    </xf>
    <xf numFmtId="169" fontId="19" fillId="2" borderId="19" xfId="0" applyNumberFormat="1" applyFont="1" applyFill="1" applyBorder="1" applyAlignment="1">
      <alignment horizontal="center" vertical="center"/>
    </xf>
    <xf numFmtId="169" fontId="19" fillId="2" borderId="9" xfId="0" applyNumberFormat="1" applyFont="1" applyFill="1" applyBorder="1" applyAlignment="1">
      <alignment horizontal="center" vertical="center"/>
    </xf>
    <xf numFmtId="165" fontId="19" fillId="2" borderId="11" xfId="0" applyNumberFormat="1" applyFont="1" applyFill="1" applyBorder="1" applyAlignment="1">
      <alignment horizontal="center" vertical="center"/>
    </xf>
    <xf numFmtId="169" fontId="19" fillId="2" borderId="12" xfId="0" applyNumberFormat="1" applyFont="1" applyFill="1" applyBorder="1" applyAlignment="1">
      <alignment horizontal="center" vertical="center"/>
    </xf>
    <xf numFmtId="165" fontId="19" fillId="2" borderId="13" xfId="0" applyNumberFormat="1" applyFont="1" applyFill="1" applyBorder="1" applyAlignment="1">
      <alignment horizontal="center" vertical="center"/>
    </xf>
    <xf numFmtId="0" fontId="19" fillId="2" borderId="20" xfId="0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center" vertical="center"/>
    </xf>
    <xf numFmtId="0" fontId="19" fillId="2" borderId="13" xfId="0" applyFont="1" applyFill="1" applyBorder="1" applyAlignment="1">
      <alignment horizontal="center" vertical="center"/>
    </xf>
    <xf numFmtId="0" fontId="18" fillId="0" borderId="0" xfId="0" applyFont="1" applyFill="1" applyAlignment="1">
      <alignment horizontal="center"/>
    </xf>
    <xf numFmtId="0" fontId="0" fillId="0" borderId="0" xfId="0" pivotButton="1"/>
    <xf numFmtId="0" fontId="0" fillId="0" borderId="0" xfId="0" pivotButton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pivotButton="1" applyFont="1" applyAlignment="1">
      <alignment horizontal="center" vertical="center"/>
    </xf>
    <xf numFmtId="167" fontId="15" fillId="0" borderId="0" xfId="0" applyNumberFormat="1" applyFont="1" applyAlignment="1">
      <alignment horizontal="center" vertical="center"/>
    </xf>
    <xf numFmtId="0" fontId="21" fillId="0" borderId="0" xfId="0" applyNumberFormat="1" applyFont="1" applyAlignment="1">
      <alignment horizontal="center" vertical="center"/>
    </xf>
    <xf numFmtId="170" fontId="21" fillId="0" borderId="0" xfId="0" applyNumberFormat="1" applyFont="1" applyAlignment="1">
      <alignment horizontal="center" vertical="center"/>
    </xf>
    <xf numFmtId="0" fontId="20" fillId="0" borderId="0" xfId="0" pivotButton="1" applyFont="1" applyAlignment="1">
      <alignment horizontal="center" vertical="center"/>
    </xf>
    <xf numFmtId="0" fontId="20" fillId="0" borderId="0" xfId="0" applyNumberFormat="1" applyFont="1" applyAlignment="1">
      <alignment horizontal="center" vertical="center"/>
    </xf>
    <xf numFmtId="171" fontId="20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/>
    </xf>
    <xf numFmtId="169" fontId="15" fillId="0" borderId="0" xfId="0" applyNumberFormat="1" applyFont="1" applyAlignment="1">
      <alignment horizontal="center" vertical="center"/>
    </xf>
    <xf numFmtId="0" fontId="0" fillId="2" borderId="0" xfId="0" applyFont="1" applyFill="1" applyAlignment="1">
      <alignment horizontal="center"/>
    </xf>
    <xf numFmtId="0" fontId="6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8" fillId="4" borderId="30" xfId="0" applyFont="1" applyFill="1" applyBorder="1" applyAlignment="1">
      <alignment horizontal="center" vertical="center"/>
    </xf>
    <xf numFmtId="0" fontId="8" fillId="4" borderId="31" xfId="0" applyFont="1" applyFill="1" applyBorder="1" applyAlignment="1">
      <alignment horizontal="center" vertical="center"/>
    </xf>
    <xf numFmtId="0" fontId="8" fillId="4" borderId="32" xfId="0" applyFont="1" applyFill="1" applyBorder="1" applyAlignment="1">
      <alignment horizontal="center" vertical="center"/>
    </xf>
    <xf numFmtId="0" fontId="8" fillId="4" borderId="33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8" fillId="4" borderId="34" xfId="0" applyFont="1" applyFill="1" applyBorder="1" applyAlignment="1">
      <alignment horizontal="center" vertical="center"/>
    </xf>
    <xf numFmtId="0" fontId="8" fillId="4" borderId="35" xfId="0" applyFont="1" applyFill="1" applyBorder="1" applyAlignment="1">
      <alignment horizontal="center" vertical="center"/>
    </xf>
    <xf numFmtId="0" fontId="8" fillId="4" borderId="36" xfId="0" applyFont="1" applyFill="1" applyBorder="1" applyAlignment="1">
      <alignment horizontal="center" vertical="center"/>
    </xf>
    <xf numFmtId="0" fontId="8" fillId="4" borderId="37" xfId="0" applyFont="1" applyFill="1" applyBorder="1" applyAlignment="1">
      <alignment horizontal="center" vertical="center"/>
    </xf>
    <xf numFmtId="0" fontId="5" fillId="3" borderId="54" xfId="0" applyFont="1" applyFill="1" applyBorder="1" applyAlignment="1">
      <alignment horizontal="center"/>
    </xf>
    <xf numFmtId="0" fontId="5" fillId="3" borderId="52" xfId="0" applyFont="1" applyFill="1" applyBorder="1" applyAlignment="1">
      <alignment horizontal="center"/>
    </xf>
    <xf numFmtId="0" fontId="5" fillId="3" borderId="55" xfId="0" applyFont="1" applyFill="1" applyBorder="1" applyAlignment="1">
      <alignment horizontal="center"/>
    </xf>
    <xf numFmtId="0" fontId="4" fillId="3" borderId="41" xfId="0" applyFont="1" applyFill="1" applyBorder="1" applyAlignment="1">
      <alignment horizontal="center" vertical="center"/>
    </xf>
    <xf numFmtId="0" fontId="4" fillId="3" borderId="42" xfId="0" applyFont="1" applyFill="1" applyBorder="1" applyAlignment="1">
      <alignment horizontal="center" vertical="center"/>
    </xf>
    <xf numFmtId="0" fontId="4" fillId="3" borderId="43" xfId="0" applyFont="1" applyFill="1" applyBorder="1" applyAlignment="1">
      <alignment horizontal="center" vertical="center"/>
    </xf>
    <xf numFmtId="0" fontId="1" fillId="3" borderId="51" xfId="0" applyFont="1" applyFill="1" applyBorder="1" applyAlignment="1">
      <alignment horizontal="center" vertical="center"/>
    </xf>
    <xf numFmtId="0" fontId="1" fillId="3" borderId="52" xfId="0" applyFont="1" applyFill="1" applyBorder="1" applyAlignment="1">
      <alignment horizontal="center" vertical="center"/>
    </xf>
    <xf numFmtId="0" fontId="1" fillId="3" borderId="53" xfId="0" applyFont="1" applyFill="1" applyBorder="1" applyAlignment="1">
      <alignment horizontal="center" vertical="center"/>
    </xf>
    <xf numFmtId="0" fontId="1" fillId="3" borderId="44" xfId="0" applyFont="1" applyFill="1" applyBorder="1" applyAlignment="1">
      <alignment horizontal="center" vertical="center"/>
    </xf>
    <xf numFmtId="0" fontId="1" fillId="3" borderId="45" xfId="0" applyFont="1" applyFill="1" applyBorder="1" applyAlignment="1">
      <alignment horizontal="center" vertical="center"/>
    </xf>
    <xf numFmtId="0" fontId="1" fillId="3" borderId="46" xfId="0" applyFont="1" applyFill="1" applyBorder="1" applyAlignment="1">
      <alignment horizontal="center" vertical="center"/>
    </xf>
    <xf numFmtId="0" fontId="5" fillId="3" borderId="47" xfId="0" applyFont="1" applyFill="1" applyBorder="1" applyAlignment="1">
      <alignment horizontal="center"/>
    </xf>
    <xf numFmtId="0" fontId="5" fillId="3" borderId="45" xfId="0" applyFont="1" applyFill="1" applyBorder="1" applyAlignment="1">
      <alignment horizontal="center"/>
    </xf>
    <xf numFmtId="0" fontId="5" fillId="3" borderId="48" xfId="0" applyFont="1" applyFill="1" applyBorder="1" applyAlignment="1">
      <alignment horizontal="center"/>
    </xf>
    <xf numFmtId="0" fontId="1" fillId="3" borderId="49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/>
    </xf>
    <xf numFmtId="0" fontId="5" fillId="3" borderId="15" xfId="0" applyFont="1" applyFill="1" applyBorder="1" applyAlignment="1">
      <alignment horizontal="center"/>
    </xf>
    <xf numFmtId="0" fontId="5" fillId="3" borderId="50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13" fillId="3" borderId="30" xfId="0" applyFont="1" applyFill="1" applyBorder="1" applyAlignment="1">
      <alignment horizontal="center" vertical="center"/>
    </xf>
    <xf numFmtId="0" fontId="13" fillId="3" borderId="31" xfId="0" applyFont="1" applyFill="1" applyBorder="1" applyAlignment="1">
      <alignment horizontal="center" vertical="center"/>
    </xf>
    <xf numFmtId="0" fontId="13" fillId="3" borderId="32" xfId="0" applyFont="1" applyFill="1" applyBorder="1" applyAlignment="1">
      <alignment horizontal="center" vertical="center"/>
    </xf>
    <xf numFmtId="0" fontId="13" fillId="3" borderId="33" xfId="0" applyFont="1" applyFill="1" applyBorder="1" applyAlignment="1">
      <alignment horizontal="center" vertical="center"/>
    </xf>
    <xf numFmtId="0" fontId="13" fillId="3" borderId="0" xfId="0" applyFont="1" applyFill="1" applyBorder="1" applyAlignment="1">
      <alignment horizontal="center" vertical="center"/>
    </xf>
    <xf numFmtId="0" fontId="13" fillId="3" borderId="34" xfId="0" applyFont="1" applyFill="1" applyBorder="1" applyAlignment="1">
      <alignment horizontal="center" vertical="center"/>
    </xf>
    <xf numFmtId="0" fontId="13" fillId="3" borderId="35" xfId="0" applyFont="1" applyFill="1" applyBorder="1" applyAlignment="1">
      <alignment horizontal="center" vertical="center"/>
    </xf>
    <xf numFmtId="0" fontId="13" fillId="3" borderId="36" xfId="0" applyFont="1" applyFill="1" applyBorder="1" applyAlignment="1">
      <alignment horizontal="center" vertical="center"/>
    </xf>
    <xf numFmtId="0" fontId="13" fillId="3" borderId="37" xfId="0" applyFont="1" applyFill="1" applyBorder="1" applyAlignment="1">
      <alignment horizontal="center" vertical="center"/>
    </xf>
    <xf numFmtId="0" fontId="14" fillId="3" borderId="24" xfId="0" applyFont="1" applyFill="1" applyBorder="1" applyAlignment="1">
      <alignment horizontal="center" vertical="center"/>
    </xf>
    <xf numFmtId="0" fontId="14" fillId="3" borderId="25" xfId="0" applyFont="1" applyFill="1" applyBorder="1" applyAlignment="1">
      <alignment horizontal="center" vertical="center"/>
    </xf>
    <xf numFmtId="0" fontId="14" fillId="3" borderId="26" xfId="0" applyFont="1" applyFill="1" applyBorder="1" applyAlignment="1">
      <alignment horizontal="center" vertical="center"/>
    </xf>
    <xf numFmtId="0" fontId="14" fillId="3" borderId="27" xfId="0" applyFont="1" applyFill="1" applyBorder="1" applyAlignment="1">
      <alignment horizontal="center" vertical="center"/>
    </xf>
    <xf numFmtId="0" fontId="14" fillId="3" borderId="28" xfId="0" applyFont="1" applyFill="1" applyBorder="1" applyAlignment="1">
      <alignment horizontal="center" vertical="center"/>
    </xf>
    <xf numFmtId="0" fontId="14" fillId="3" borderId="29" xfId="0" applyFont="1" applyFill="1" applyBorder="1" applyAlignment="1">
      <alignment horizontal="center" vertical="center"/>
    </xf>
    <xf numFmtId="0" fontId="9" fillId="3" borderId="30" xfId="0" applyFont="1" applyFill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center"/>
    </xf>
    <xf numFmtId="0" fontId="9" fillId="3" borderId="32" xfId="0" applyFont="1" applyFill="1" applyBorder="1" applyAlignment="1">
      <alignment horizontal="center" vertical="center"/>
    </xf>
    <xf numFmtId="0" fontId="9" fillId="3" borderId="33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34" xfId="0" applyFont="1" applyFill="1" applyBorder="1" applyAlignment="1">
      <alignment horizontal="center" vertical="center"/>
    </xf>
    <xf numFmtId="0" fontId="9" fillId="3" borderId="35" xfId="0" applyFont="1" applyFill="1" applyBorder="1" applyAlignment="1">
      <alignment horizontal="center" vertical="center"/>
    </xf>
    <xf numFmtId="0" fontId="9" fillId="3" borderId="36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10" fillId="3" borderId="30" xfId="0" applyFont="1" applyFill="1" applyBorder="1" applyAlignment="1">
      <alignment horizontal="center" vertical="center"/>
    </xf>
    <xf numFmtId="0" fontId="10" fillId="3" borderId="31" xfId="0" applyFont="1" applyFill="1" applyBorder="1" applyAlignment="1">
      <alignment horizontal="center" vertical="center"/>
    </xf>
    <xf numFmtId="0" fontId="10" fillId="3" borderId="32" xfId="0" applyFont="1" applyFill="1" applyBorder="1" applyAlignment="1">
      <alignment horizontal="center" vertical="center"/>
    </xf>
    <xf numFmtId="0" fontId="10" fillId="3" borderId="33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10" fillId="3" borderId="36" xfId="0" applyFont="1" applyFill="1" applyBorder="1" applyAlignment="1">
      <alignment horizontal="center" vertical="center"/>
    </xf>
    <xf numFmtId="0" fontId="10" fillId="3" borderId="37" xfId="0" applyFont="1" applyFill="1" applyBorder="1" applyAlignment="1">
      <alignment horizontal="center" vertical="center"/>
    </xf>
    <xf numFmtId="0" fontId="16" fillId="5" borderId="1" xfId="0" applyFont="1" applyFill="1" applyBorder="1" applyAlignment="1">
      <alignment horizontal="center" vertical="center"/>
    </xf>
    <xf numFmtId="0" fontId="16" fillId="5" borderId="2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16" fillId="5" borderId="8" xfId="0" applyFont="1" applyFill="1" applyBorder="1" applyAlignment="1">
      <alignment horizontal="center" vertical="center"/>
    </xf>
    <xf numFmtId="0" fontId="16" fillId="5" borderId="0" xfId="0" applyFont="1" applyFill="1" applyBorder="1" applyAlignment="1">
      <alignment horizontal="center" vertical="center"/>
    </xf>
    <xf numFmtId="0" fontId="16" fillId="5" borderId="7" xfId="0" applyFont="1" applyFill="1" applyBorder="1" applyAlignment="1">
      <alignment horizontal="center" vertical="center"/>
    </xf>
    <xf numFmtId="0" fontId="16" fillId="5" borderId="4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5" borderId="6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1" fillId="3" borderId="3" xfId="0" applyFont="1" applyFill="1" applyBorder="1" applyAlignment="1">
      <alignment horizontal="center" vertical="center"/>
    </xf>
    <xf numFmtId="0" fontId="11" fillId="3" borderId="8" xfId="0" applyFont="1" applyFill="1" applyBorder="1" applyAlignment="1">
      <alignment horizontal="center" vertical="center"/>
    </xf>
    <xf numFmtId="0" fontId="11" fillId="3" borderId="0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0" fontId="11" fillId="3" borderId="6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2" fillId="3" borderId="3" xfId="0" applyFont="1" applyFill="1" applyBorder="1" applyAlignment="1">
      <alignment horizontal="center" vertical="center"/>
    </xf>
    <xf numFmtId="0" fontId="12" fillId="3" borderId="8" xfId="0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2" fillId="3" borderId="4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</cellXfs>
  <cellStyles count="1">
    <cellStyle name="Normal" xfId="0" builtinId="0"/>
  </cellStyles>
  <dxfs count="418"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es"/>
        <scheme val="none"/>
      </font>
    </dxf>
    <dxf>
      <font>
        <name val="Ties"/>
        <scheme val="none"/>
      </font>
    </dxf>
    <dxf>
      <font>
        <name val="Ties"/>
        <scheme val="none"/>
      </font>
    </dxf>
    <dxf>
      <font>
        <name val="Ties"/>
        <scheme val="none"/>
      </font>
    </dxf>
    <dxf>
      <font>
        <name val="Ties"/>
        <scheme val="none"/>
      </font>
    </dxf>
    <dxf>
      <font>
        <name val="Ties"/>
        <scheme val="none"/>
      </font>
    </dxf>
    <dxf>
      <font>
        <name val="Ties"/>
        <scheme val="none"/>
      </font>
    </dxf>
    <dxf>
      <font>
        <name val="Ties"/>
        <scheme val="none"/>
      </font>
    </dxf>
    <dxf>
      <font>
        <name val="Ties"/>
        <scheme val="none"/>
      </font>
    </dxf>
    <dxf>
      <font>
        <name val="Ties"/>
        <scheme val="none"/>
      </font>
    </dxf>
    <dxf>
      <font>
        <name val="Ties"/>
        <scheme val="none"/>
      </font>
    </dxf>
    <dxf>
      <font>
        <name val="Ties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66FFFF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</font>
    </dxf>
    <dxf>
      <font>
        <name val="Times New Roman"/>
        <scheme val="none"/>
      </font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name val="Arial Black"/>
        <scheme val="none"/>
      </font>
    </dxf>
    <dxf>
      <font>
        <name val="Arial"/>
        <scheme val="none"/>
      </font>
    </dxf>
    <dxf>
      <alignment horizontal="center" readingOrder="0"/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alignment horizontal="center" readingOrder="0"/>
    </dxf>
    <dxf>
      <alignment vertical="center" readingOrder="0"/>
    </dxf>
    <dxf>
      <font>
        <b/>
      </font>
    </dxf>
    <dxf>
      <font>
        <name val="Times New Roman"/>
        <scheme val="none"/>
      </font>
    </dxf>
    <dxf>
      <numFmt numFmtId="171" formatCode="&quot;Rs&quot;##############"/>
    </dxf>
    <dxf>
      <alignment horizontal="center" readingOrder="0"/>
    </dxf>
    <dxf>
      <alignment vertical="center" readingOrder="0"/>
    </dxf>
    <dxf>
      <font>
        <b/>
      </font>
    </dxf>
    <dxf>
      <font>
        <name val="Times New Roman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b/>
      </font>
    </dxf>
    <dxf>
      <font>
        <b val="0"/>
      </font>
    </dxf>
    <dxf>
      <font>
        <b/>
      </font>
    </dxf>
    <dxf>
      <alignment horizontal="center" readingOrder="0"/>
    </dxf>
    <dxf>
      <alignment vertical="center" readingOrder="0"/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name val="Arial Black"/>
        <scheme val="none"/>
      </font>
    </dxf>
    <dxf>
      <font>
        <name val="Arial Black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b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</dxfs>
  <tableStyles count="1" defaultTableStyle="TableStyleMedium2" defaultPivotStyle="PivotStyleLight16">
    <tableStyle name="PivotTable Style 1" table="0" count="0"/>
  </tableStyles>
  <colors>
    <mruColors>
      <color rgb="FFFF66FF"/>
      <color rgb="FF00FFFF"/>
      <color rgb="FF00FF00"/>
      <color rgb="FFFFFF99"/>
      <color rgb="FFFFFF00"/>
      <color rgb="FFFF99FF"/>
      <color rgb="FFCC00FF"/>
      <color rgb="FFCC99FF"/>
      <color rgb="FFFF99CC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Report of Stock Information'!A1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hyperlink" Target="#'HOME-PAGE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Report of Stock Information'!A1"/><Relationship Id="rId3" Type="http://schemas.openxmlformats.org/officeDocument/2006/relationships/hyperlink" Target="#'Purchase Information'!A1"/><Relationship Id="rId7" Type="http://schemas.openxmlformats.org/officeDocument/2006/relationships/hyperlink" Target="#'Report of Sale Information'!A1"/><Relationship Id="rId2" Type="http://schemas.openxmlformats.org/officeDocument/2006/relationships/hyperlink" Target="#'BIKE Information'!A1"/><Relationship Id="rId1" Type="http://schemas.openxmlformats.org/officeDocument/2006/relationships/hyperlink" Target="#'COVER-PAGE'!A1"/><Relationship Id="rId6" Type="http://schemas.openxmlformats.org/officeDocument/2006/relationships/hyperlink" Target="#'Report of Purchase Information'!A1"/><Relationship Id="rId5" Type="http://schemas.openxmlformats.org/officeDocument/2006/relationships/hyperlink" Target="#'Stock Information'!A1"/><Relationship Id="rId4" Type="http://schemas.openxmlformats.org/officeDocument/2006/relationships/hyperlink" Target="#'Sale Information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'Purchase Information'!A1"/><Relationship Id="rId1" Type="http://schemas.openxmlformats.org/officeDocument/2006/relationships/hyperlink" Target="#'HOME-PAGE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Sale Information'!A1"/><Relationship Id="rId2" Type="http://schemas.openxmlformats.org/officeDocument/2006/relationships/hyperlink" Target="#'BIKE Information'!A1"/><Relationship Id="rId1" Type="http://schemas.openxmlformats.org/officeDocument/2006/relationships/hyperlink" Target="#'HOME-PAGE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Stock Information'!A1"/><Relationship Id="rId2" Type="http://schemas.openxmlformats.org/officeDocument/2006/relationships/hyperlink" Target="#'Purchase Information'!A1"/><Relationship Id="rId1" Type="http://schemas.openxmlformats.org/officeDocument/2006/relationships/hyperlink" Target="#'HOME-PAGE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Report of Purchase Information'!A1"/><Relationship Id="rId2" Type="http://schemas.openxmlformats.org/officeDocument/2006/relationships/hyperlink" Target="#'Sale Information'!A1"/><Relationship Id="rId1" Type="http://schemas.openxmlformats.org/officeDocument/2006/relationships/hyperlink" Target="#'HOME-PAGE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Report of Sale Information'!A1"/><Relationship Id="rId2" Type="http://schemas.openxmlformats.org/officeDocument/2006/relationships/hyperlink" Target="#'Stock Information'!A1"/><Relationship Id="rId1" Type="http://schemas.openxmlformats.org/officeDocument/2006/relationships/hyperlink" Target="#'HOME-PAGE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Report of Stock Information'!A1"/><Relationship Id="rId2" Type="http://schemas.openxmlformats.org/officeDocument/2006/relationships/hyperlink" Target="#'Report of Purchase Information'!A1"/><Relationship Id="rId1" Type="http://schemas.openxmlformats.org/officeDocument/2006/relationships/hyperlink" Target="#'HOME-PAGE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COVER-PAGE'!A1"/><Relationship Id="rId2" Type="http://schemas.openxmlformats.org/officeDocument/2006/relationships/hyperlink" Target="#'Report of Sale Information'!A1"/><Relationship Id="rId1" Type="http://schemas.openxmlformats.org/officeDocument/2006/relationships/hyperlink" Target="#'HOME-PAGE'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590550</xdr:colOff>
      <xdr:row>2</xdr:row>
      <xdr:rowOff>85725</xdr:rowOff>
    </xdr:from>
    <xdr:to>
      <xdr:col>17</xdr:col>
      <xdr:colOff>581025</xdr:colOff>
      <xdr:row>15</xdr:row>
      <xdr:rowOff>142875</xdr:rowOff>
    </xdr:to>
    <xdr:pic>
      <xdr:nvPicPr>
        <xdr:cNvPr id="8" name="Picture 7" descr="Bismillah Calligraphy Arabic - Free vector graphic on Pixabay"/>
        <xdr:cNvPicPr>
          <a:picLocks noChangeAspect="1"/>
        </xdr:cNvPicPr>
      </xdr:nvPicPr>
      <xdr:blipFill>
        <a:blip xmlns:r="http://schemas.openxmlformats.org/officeDocument/2006/relationships" r:embed="rId1"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PaintBrush/>
                  </a14:imgEffect>
                  <a14:imgEffect>
                    <a14:colorTemperature colorTemp="4700"/>
                  </a14:imgEffect>
                  <a14:imgEffect>
                    <a14:saturation sat="400000"/>
                  </a14:imgEffect>
                  <a14:imgEffect>
                    <a14:brightnessContrast bright="-100000" contrast="-9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466725"/>
          <a:ext cx="9134475" cy="2533650"/>
        </a:xfrm>
        <a:prstGeom prst="rect">
          <a:avLst/>
        </a:prstGeom>
        <a:ln w="228600" cap="sq" cmpd="thickThin">
          <a:solidFill>
            <a:schemeClr val="bg1"/>
          </a:solidFill>
          <a:prstDash val="sysDash"/>
          <a:miter lim="800000"/>
        </a:ln>
        <a:effectLst>
          <a:glow rad="101600">
            <a:srgbClr val="FF0000">
              <a:alpha val="60000"/>
            </a:srgbClr>
          </a:glow>
          <a:outerShdw blurRad="76200" dir="13500000" sy="23000" kx="1200000" algn="br" rotWithShape="0">
            <a:prstClr val="black">
              <a:alpha val="20000"/>
            </a:prstClr>
          </a:outerShdw>
        </a:effectLst>
      </xdr:spPr>
    </xdr:pic>
    <xdr:clientData/>
  </xdr:twoCellAnchor>
  <xdr:twoCellAnchor>
    <xdr:from>
      <xdr:col>0</xdr:col>
      <xdr:colOff>600075</xdr:colOff>
      <xdr:row>18</xdr:row>
      <xdr:rowOff>0</xdr:rowOff>
    </xdr:from>
    <xdr:to>
      <xdr:col>2</xdr:col>
      <xdr:colOff>600075</xdr:colOff>
      <xdr:row>20</xdr:row>
      <xdr:rowOff>180975</xdr:rowOff>
    </xdr:to>
    <xdr:sp macro="" textlink="">
      <xdr:nvSpPr>
        <xdr:cNvPr id="9" name="Left Arrow 8">
          <a:hlinkClick xmlns:r="http://schemas.openxmlformats.org/officeDocument/2006/relationships" r:id="rId3"/>
        </xdr:cNvPr>
        <xdr:cNvSpPr/>
      </xdr:nvSpPr>
      <xdr:spPr>
        <a:xfrm>
          <a:off x="600075" y="3057525"/>
          <a:ext cx="1219200" cy="561975"/>
        </a:xfrm>
        <a:prstGeom prst="lef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0000"/>
              </a:solidFill>
            </a:rPr>
            <a:t>Previous</a:t>
          </a:r>
        </a:p>
      </xdr:txBody>
    </xdr:sp>
    <xdr:clientData/>
  </xdr:twoCellAnchor>
  <xdr:twoCellAnchor>
    <xdr:from>
      <xdr:col>18</xdr:col>
      <xdr:colOff>0</xdr:colOff>
      <xdr:row>18</xdr:row>
      <xdr:rowOff>9525</xdr:rowOff>
    </xdr:from>
    <xdr:to>
      <xdr:col>20</xdr:col>
      <xdr:colOff>9525</xdr:colOff>
      <xdr:row>20</xdr:row>
      <xdr:rowOff>200024</xdr:rowOff>
    </xdr:to>
    <xdr:sp macro="" textlink="">
      <xdr:nvSpPr>
        <xdr:cNvPr id="10" name="Right Arrow 9">
          <a:hlinkClick xmlns:r="http://schemas.openxmlformats.org/officeDocument/2006/relationships" r:id="rId4"/>
        </xdr:cNvPr>
        <xdr:cNvSpPr/>
      </xdr:nvSpPr>
      <xdr:spPr>
        <a:xfrm>
          <a:off x="10972800" y="3067050"/>
          <a:ext cx="1228725" cy="571499"/>
        </a:xfrm>
        <a:prstGeom prst="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0000"/>
              </a:solidFill>
            </a:rPr>
            <a:t>Next</a:t>
          </a:r>
        </a:p>
      </xdr:txBody>
    </xdr:sp>
    <xdr:clientData/>
  </xdr:twoCellAnchor>
  <xdr:twoCellAnchor>
    <xdr:from>
      <xdr:col>3</xdr:col>
      <xdr:colOff>581027</xdr:colOff>
      <xdr:row>41</xdr:row>
      <xdr:rowOff>0</xdr:rowOff>
    </xdr:from>
    <xdr:to>
      <xdr:col>16</xdr:col>
      <xdr:colOff>28575</xdr:colOff>
      <xdr:row>49</xdr:row>
      <xdr:rowOff>171450</xdr:rowOff>
    </xdr:to>
    <xdr:sp macro="" textlink="">
      <xdr:nvSpPr>
        <xdr:cNvPr id="20" name="TextBox 19"/>
        <xdr:cNvSpPr txBox="1"/>
      </xdr:nvSpPr>
      <xdr:spPr>
        <a:xfrm>
          <a:off x="2409827" y="8696325"/>
          <a:ext cx="7372348" cy="1695450"/>
        </a:xfrm>
        <a:prstGeom prst="rect">
          <a:avLst/>
        </a:prstGeom>
        <a:solidFill>
          <a:srgbClr val="00B050"/>
        </a:solidFill>
        <a:ln w="76200" cmpd="sng">
          <a:solidFill>
            <a:srgbClr val="FFFF00"/>
          </a:solidFill>
          <a:prstDash val="soli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 and my partner are thankful to </a:t>
          </a:r>
          <a:r>
            <a:rPr lang="en-US" sz="1400" b="1" i="1" baseline="0">
              <a:solidFill>
                <a:schemeClr val="bg1"/>
              </a:solidFill>
              <a:latin typeface="Arial Black" panose="020B0A04020102020204" pitchFamily="34" charset="0"/>
              <a:cs typeface="Times New Roman" panose="02020603050405020304" pitchFamily="18" charset="0"/>
            </a:rPr>
            <a:t>Sir SHERAZ </a:t>
          </a:r>
          <a:r>
            <a:rPr lang="en-US" sz="1400" b="1" i="1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our instructor throughout this course from the depths of our hearts . He is a very kind-hearted and hard working teacher , we are very lucky to have a teacher like him. Without his guidance this project would be a hard nut to crack, but with his excellent teaching methods it is a piece of cake for us.</a:t>
          </a:r>
        </a:p>
        <a:p>
          <a:endParaRPr lang="en-US" sz="1200" b="1" i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en-US" sz="1200" b="1" i="1" baseline="0">
            <a:latin typeface="Algerian" panose="04020705040A02060702" pitchFamily="82" charset="0"/>
            <a:cs typeface="Times New Roman" panose="02020603050405020304" pitchFamily="18" charset="0"/>
          </a:endParaRPr>
        </a:p>
        <a:p>
          <a:pPr algn="ctr"/>
          <a:r>
            <a:rPr lang="en-US" sz="1200" b="1" i="1" baseline="0">
              <a:solidFill>
                <a:schemeClr val="bg1"/>
              </a:solidFill>
              <a:latin typeface="Arial Black" panose="020B0A04020102020204" pitchFamily="34" charset="0"/>
              <a:cs typeface="Times New Roman" panose="02020603050405020304" pitchFamily="18" charset="0"/>
            </a:rPr>
            <a:t>Thanks! Sir Sheraz  </a:t>
          </a:r>
        </a:p>
      </xdr:txBody>
    </xdr:sp>
    <xdr:clientData/>
  </xdr:twoCellAnchor>
  <xdr:twoCellAnchor>
    <xdr:from>
      <xdr:col>11</xdr:col>
      <xdr:colOff>266700</xdr:colOff>
      <xdr:row>47</xdr:row>
      <xdr:rowOff>57150</xdr:rowOff>
    </xdr:from>
    <xdr:to>
      <xdr:col>12</xdr:col>
      <xdr:colOff>171450</xdr:colOff>
      <xdr:row>49</xdr:row>
      <xdr:rowOff>57150</xdr:rowOff>
    </xdr:to>
    <xdr:sp macro="" textlink="">
      <xdr:nvSpPr>
        <xdr:cNvPr id="21" name="Smiley Face 20"/>
        <xdr:cNvSpPr/>
      </xdr:nvSpPr>
      <xdr:spPr>
        <a:xfrm>
          <a:off x="6972300" y="9896475"/>
          <a:ext cx="514350" cy="381000"/>
        </a:xfrm>
        <a:prstGeom prst="smileyFace">
          <a:avLst/>
        </a:prstGeom>
        <a:solidFill>
          <a:srgbClr val="FFFF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</xdr:rowOff>
    </xdr:from>
    <xdr:to>
      <xdr:col>2</xdr:col>
      <xdr:colOff>600075</xdr:colOff>
      <xdr:row>4</xdr:row>
      <xdr:rowOff>0</xdr:rowOff>
    </xdr:to>
    <xdr:sp macro="" textlink="">
      <xdr:nvSpPr>
        <xdr:cNvPr id="11" name="Left Arrow 10">
          <a:hlinkClick xmlns:r="http://schemas.openxmlformats.org/officeDocument/2006/relationships" r:id="rId1"/>
        </xdr:cNvPr>
        <xdr:cNvSpPr/>
      </xdr:nvSpPr>
      <xdr:spPr>
        <a:xfrm>
          <a:off x="609600" y="200026"/>
          <a:ext cx="1209675" cy="581024"/>
        </a:xfrm>
        <a:prstGeom prst="leftArrow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0000"/>
              </a:solidFill>
            </a:rPr>
            <a:t>Previous</a:t>
          </a:r>
        </a:p>
      </xdr:txBody>
    </xdr:sp>
    <xdr:clientData/>
  </xdr:twoCellAnchor>
  <xdr:twoCellAnchor>
    <xdr:from>
      <xdr:col>18</xdr:col>
      <xdr:colOff>0</xdr:colOff>
      <xdr:row>1</xdr:row>
      <xdr:rowOff>9525</xdr:rowOff>
    </xdr:from>
    <xdr:to>
      <xdr:col>20</xdr:col>
      <xdr:colOff>0</xdr:colOff>
      <xdr:row>3</xdr:row>
      <xdr:rowOff>180975</xdr:rowOff>
    </xdr:to>
    <xdr:sp macro="" textlink="">
      <xdr:nvSpPr>
        <xdr:cNvPr id="13" name="Right Arrow 12">
          <a:hlinkClick xmlns:r="http://schemas.openxmlformats.org/officeDocument/2006/relationships" r:id="rId2"/>
        </xdr:cNvPr>
        <xdr:cNvSpPr/>
      </xdr:nvSpPr>
      <xdr:spPr>
        <a:xfrm>
          <a:off x="10972800" y="209550"/>
          <a:ext cx="1219200" cy="552450"/>
        </a:xfrm>
        <a:prstGeom prst="rightArrow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0000"/>
              </a:solidFill>
            </a:rPr>
            <a:t>Next</a:t>
          </a:r>
        </a:p>
      </xdr:txBody>
    </xdr:sp>
    <xdr:clientData/>
  </xdr:twoCellAnchor>
  <xdr:twoCellAnchor>
    <xdr:from>
      <xdr:col>0</xdr:col>
      <xdr:colOff>606765</xdr:colOff>
      <xdr:row>10</xdr:row>
      <xdr:rowOff>146063</xdr:rowOff>
    </xdr:from>
    <xdr:to>
      <xdr:col>3</xdr:col>
      <xdr:colOff>529462</xdr:colOff>
      <xdr:row>16</xdr:row>
      <xdr:rowOff>53961</xdr:rowOff>
    </xdr:to>
    <xdr:sp macro="" textlink="">
      <xdr:nvSpPr>
        <xdr:cNvPr id="30" name="Freeform 29">
          <a:hlinkClick xmlns:r="http://schemas.openxmlformats.org/officeDocument/2006/relationships" r:id="rId1"/>
        </xdr:cNvPr>
        <xdr:cNvSpPr/>
      </xdr:nvSpPr>
      <xdr:spPr>
        <a:xfrm>
          <a:off x="606765" y="2146313"/>
          <a:ext cx="1751497" cy="1050898"/>
        </a:xfrm>
        <a:custGeom>
          <a:avLst/>
          <a:gdLst>
            <a:gd name="connsiteX0" fmla="*/ 0 w 1751497"/>
            <a:gd name="connsiteY0" fmla="*/ 0 h 1050898"/>
            <a:gd name="connsiteX1" fmla="*/ 1751497 w 1751497"/>
            <a:gd name="connsiteY1" fmla="*/ 0 h 1050898"/>
            <a:gd name="connsiteX2" fmla="*/ 1751497 w 1751497"/>
            <a:gd name="connsiteY2" fmla="*/ 1050898 h 1050898"/>
            <a:gd name="connsiteX3" fmla="*/ 0 w 1751497"/>
            <a:gd name="connsiteY3" fmla="*/ 1050898 h 1050898"/>
            <a:gd name="connsiteX4" fmla="*/ 0 w 1751497"/>
            <a:gd name="connsiteY4" fmla="*/ 0 h 10508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751497" h="1050898">
              <a:moveTo>
                <a:pt x="0" y="0"/>
              </a:moveTo>
              <a:lnTo>
                <a:pt x="1751497" y="0"/>
              </a:lnTo>
              <a:lnTo>
                <a:pt x="1751497" y="1050898"/>
              </a:lnTo>
              <a:lnTo>
                <a:pt x="0" y="1050898"/>
              </a:lnTo>
              <a:lnTo>
                <a:pt x="0" y="0"/>
              </a:lnTo>
              <a:close/>
            </a:path>
          </a:pathLst>
        </a:custGeom>
        <a:scene3d>
          <a:camera prst="perspectiveLeft" zoom="91000"/>
          <a:lightRig rig="threePt" dir="t">
            <a:rot lat="0" lon="0" rev="20640000"/>
          </a:lightRig>
        </a:scene3d>
        <a:sp3d extrusionH="50600" prstMaterial="metal">
          <a:bevelT w="101600" h="80600" prst="relaxedInset"/>
          <a:bevelB w="80600" h="80600" prst="relaxedInset"/>
        </a:sp3d>
      </xdr:spPr>
      <xdr:style>
        <a:lnRef idx="0">
          <a:schemeClr val="lt1">
            <a:hueOff val="0"/>
            <a:satOff val="0"/>
            <a:lumOff val="0"/>
            <a:alphaOff val="0"/>
          </a:schemeClr>
        </a:lnRef>
        <a:fillRef idx="1">
          <a:schemeClr val="accent2">
            <a:hueOff val="0"/>
            <a:satOff val="0"/>
            <a:lumOff val="0"/>
            <a:alphaOff val="0"/>
          </a:schemeClr>
        </a:fillRef>
        <a:effectRef idx="1">
          <a:schemeClr val="accent2">
            <a:hueOff val="0"/>
            <a:satOff val="0"/>
            <a:lumOff val="0"/>
            <a:alphaOff val="0"/>
          </a:schemeClr>
        </a:effectRef>
        <a:fontRef idx="minor">
          <a:schemeClr val="dk1"/>
        </a:fontRef>
      </xdr:style>
      <xdr:txBody>
        <a:bodyPr spcFirstLastPara="0" vert="horz" wrap="square" lIns="163576" tIns="163576" rIns="163576" bIns="163576" numCol="1" spcCol="1270" anchor="ctr" anchorCtr="0">
          <a:noAutofit/>
        </a:bodyPr>
        <a:lstStyle/>
        <a:p>
          <a:pPr lvl="0" algn="ctr" defTabSz="10223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2300" kern="1200"/>
            <a:t>Cover-Page</a:t>
          </a:r>
        </a:p>
      </xdr:txBody>
    </xdr:sp>
    <xdr:clientData/>
  </xdr:twoCellAnchor>
  <xdr:twoCellAnchor>
    <xdr:from>
      <xdr:col>4</xdr:col>
      <xdr:colOff>322708</xdr:colOff>
      <xdr:row>10</xdr:row>
      <xdr:rowOff>146063</xdr:rowOff>
    </xdr:from>
    <xdr:to>
      <xdr:col>7</xdr:col>
      <xdr:colOff>245405</xdr:colOff>
      <xdr:row>16</xdr:row>
      <xdr:rowOff>53961</xdr:rowOff>
    </xdr:to>
    <xdr:sp macro="" textlink="">
      <xdr:nvSpPr>
        <xdr:cNvPr id="32" name="Freeform 31">
          <a:hlinkClick xmlns:r="http://schemas.openxmlformats.org/officeDocument/2006/relationships" r:id="rId2"/>
        </xdr:cNvPr>
        <xdr:cNvSpPr/>
      </xdr:nvSpPr>
      <xdr:spPr>
        <a:xfrm>
          <a:off x="2761108" y="2146313"/>
          <a:ext cx="1751497" cy="1050898"/>
        </a:xfrm>
        <a:custGeom>
          <a:avLst/>
          <a:gdLst>
            <a:gd name="connsiteX0" fmla="*/ 0 w 1751497"/>
            <a:gd name="connsiteY0" fmla="*/ 0 h 1050898"/>
            <a:gd name="connsiteX1" fmla="*/ 1751497 w 1751497"/>
            <a:gd name="connsiteY1" fmla="*/ 0 h 1050898"/>
            <a:gd name="connsiteX2" fmla="*/ 1751497 w 1751497"/>
            <a:gd name="connsiteY2" fmla="*/ 1050898 h 1050898"/>
            <a:gd name="connsiteX3" fmla="*/ 0 w 1751497"/>
            <a:gd name="connsiteY3" fmla="*/ 1050898 h 1050898"/>
            <a:gd name="connsiteX4" fmla="*/ 0 w 1751497"/>
            <a:gd name="connsiteY4" fmla="*/ 0 h 10508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751497" h="1050898">
              <a:moveTo>
                <a:pt x="0" y="0"/>
              </a:moveTo>
              <a:lnTo>
                <a:pt x="1751497" y="0"/>
              </a:lnTo>
              <a:lnTo>
                <a:pt x="1751497" y="1050898"/>
              </a:lnTo>
              <a:lnTo>
                <a:pt x="0" y="1050898"/>
              </a:lnTo>
              <a:lnTo>
                <a:pt x="0" y="0"/>
              </a:lnTo>
              <a:close/>
            </a:path>
          </a:pathLst>
        </a:custGeom>
        <a:scene3d>
          <a:camera prst="perspectiveLeft" zoom="91000"/>
          <a:lightRig rig="threePt" dir="t">
            <a:rot lat="0" lon="0" rev="20640000"/>
          </a:lightRig>
        </a:scene3d>
        <a:sp3d extrusionH="50600" prstMaterial="metal">
          <a:bevelT w="101600" h="80600" prst="relaxedInset"/>
          <a:bevelB w="80600" h="80600" prst="relaxedInset"/>
        </a:sp3d>
      </xdr:spPr>
      <xdr:style>
        <a:lnRef idx="0">
          <a:schemeClr val="lt1">
            <a:hueOff val="0"/>
            <a:satOff val="0"/>
            <a:lumOff val="0"/>
            <a:alphaOff val="0"/>
          </a:schemeClr>
        </a:lnRef>
        <a:fillRef idx="1">
          <a:schemeClr val="accent3">
            <a:hueOff val="0"/>
            <a:satOff val="0"/>
            <a:lumOff val="0"/>
            <a:alphaOff val="0"/>
          </a:schemeClr>
        </a:fillRef>
        <a:effectRef idx="1">
          <a:schemeClr val="accent3">
            <a:hueOff val="0"/>
            <a:satOff val="0"/>
            <a:lumOff val="0"/>
            <a:alphaOff val="0"/>
          </a:schemeClr>
        </a:effectRef>
        <a:fontRef idx="minor">
          <a:schemeClr val="dk1"/>
        </a:fontRef>
      </xdr:style>
      <xdr:txBody>
        <a:bodyPr spcFirstLastPara="0" vert="horz" wrap="square" lIns="163576" tIns="163576" rIns="163576" bIns="163576" numCol="1" spcCol="1270" anchor="ctr" anchorCtr="0">
          <a:noAutofit/>
        </a:bodyPr>
        <a:lstStyle/>
        <a:p>
          <a:pPr lvl="0" algn="ctr" defTabSz="10223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2300" kern="1200"/>
            <a:t>Bike Information</a:t>
          </a:r>
        </a:p>
      </xdr:txBody>
    </xdr:sp>
    <xdr:clientData/>
  </xdr:twoCellAnchor>
  <xdr:twoCellAnchor>
    <xdr:from>
      <xdr:col>8</xdr:col>
      <xdr:colOff>38650</xdr:colOff>
      <xdr:row>10</xdr:row>
      <xdr:rowOff>146063</xdr:rowOff>
    </xdr:from>
    <xdr:to>
      <xdr:col>10</xdr:col>
      <xdr:colOff>570947</xdr:colOff>
      <xdr:row>16</xdr:row>
      <xdr:rowOff>53961</xdr:rowOff>
    </xdr:to>
    <xdr:sp macro="" textlink="">
      <xdr:nvSpPr>
        <xdr:cNvPr id="34" name="Freeform 33">
          <a:hlinkClick xmlns:r="http://schemas.openxmlformats.org/officeDocument/2006/relationships" r:id="rId3"/>
        </xdr:cNvPr>
        <xdr:cNvSpPr/>
      </xdr:nvSpPr>
      <xdr:spPr>
        <a:xfrm>
          <a:off x="4915450" y="2146313"/>
          <a:ext cx="1751497" cy="1050898"/>
        </a:xfrm>
        <a:custGeom>
          <a:avLst/>
          <a:gdLst>
            <a:gd name="connsiteX0" fmla="*/ 0 w 1751497"/>
            <a:gd name="connsiteY0" fmla="*/ 0 h 1050898"/>
            <a:gd name="connsiteX1" fmla="*/ 1751497 w 1751497"/>
            <a:gd name="connsiteY1" fmla="*/ 0 h 1050898"/>
            <a:gd name="connsiteX2" fmla="*/ 1751497 w 1751497"/>
            <a:gd name="connsiteY2" fmla="*/ 1050898 h 1050898"/>
            <a:gd name="connsiteX3" fmla="*/ 0 w 1751497"/>
            <a:gd name="connsiteY3" fmla="*/ 1050898 h 1050898"/>
            <a:gd name="connsiteX4" fmla="*/ 0 w 1751497"/>
            <a:gd name="connsiteY4" fmla="*/ 0 h 10508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751497" h="1050898">
              <a:moveTo>
                <a:pt x="0" y="0"/>
              </a:moveTo>
              <a:lnTo>
                <a:pt x="1751497" y="0"/>
              </a:lnTo>
              <a:lnTo>
                <a:pt x="1751497" y="1050898"/>
              </a:lnTo>
              <a:lnTo>
                <a:pt x="0" y="1050898"/>
              </a:lnTo>
              <a:lnTo>
                <a:pt x="0" y="0"/>
              </a:lnTo>
              <a:close/>
            </a:path>
          </a:pathLst>
        </a:custGeom>
        <a:scene3d>
          <a:camera prst="perspectiveLeft" zoom="91000"/>
          <a:lightRig rig="threePt" dir="t">
            <a:rot lat="0" lon="0" rev="20640000"/>
          </a:lightRig>
        </a:scene3d>
        <a:sp3d extrusionH="50600" prstMaterial="metal">
          <a:bevelT w="101600" h="80600" prst="relaxedInset"/>
          <a:bevelB w="80600" h="80600" prst="relaxedInset"/>
        </a:sp3d>
      </xdr:spPr>
      <xdr:style>
        <a:lnRef idx="0">
          <a:schemeClr val="lt1">
            <a:hueOff val="0"/>
            <a:satOff val="0"/>
            <a:lumOff val="0"/>
            <a:alphaOff val="0"/>
          </a:schemeClr>
        </a:lnRef>
        <a:fillRef idx="1">
          <a:schemeClr val="accent4">
            <a:hueOff val="0"/>
            <a:satOff val="0"/>
            <a:lumOff val="0"/>
            <a:alphaOff val="0"/>
          </a:schemeClr>
        </a:fillRef>
        <a:effectRef idx="1">
          <a:schemeClr val="accent4">
            <a:hueOff val="0"/>
            <a:satOff val="0"/>
            <a:lumOff val="0"/>
            <a:alphaOff val="0"/>
          </a:schemeClr>
        </a:effectRef>
        <a:fontRef idx="minor">
          <a:schemeClr val="dk1"/>
        </a:fontRef>
      </xdr:style>
      <xdr:txBody>
        <a:bodyPr spcFirstLastPara="0" vert="horz" wrap="square" lIns="163576" tIns="163576" rIns="163576" bIns="163576" numCol="1" spcCol="1270" anchor="ctr" anchorCtr="0">
          <a:noAutofit/>
        </a:bodyPr>
        <a:lstStyle/>
        <a:p>
          <a:pPr lvl="0" algn="ctr" defTabSz="10223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2300" kern="1200"/>
            <a:t>Purchase Information</a:t>
          </a:r>
        </a:p>
      </xdr:txBody>
    </xdr:sp>
    <xdr:clientData/>
  </xdr:twoCellAnchor>
  <xdr:twoCellAnchor>
    <xdr:from>
      <xdr:col>11</xdr:col>
      <xdr:colOff>364192</xdr:colOff>
      <xdr:row>10</xdr:row>
      <xdr:rowOff>146063</xdr:rowOff>
    </xdr:from>
    <xdr:to>
      <xdr:col>14</xdr:col>
      <xdr:colOff>286889</xdr:colOff>
      <xdr:row>16</xdr:row>
      <xdr:rowOff>53961</xdr:rowOff>
    </xdr:to>
    <xdr:sp macro="" textlink="">
      <xdr:nvSpPr>
        <xdr:cNvPr id="36" name="Freeform 35">
          <a:hlinkClick xmlns:r="http://schemas.openxmlformats.org/officeDocument/2006/relationships" r:id="rId4"/>
        </xdr:cNvPr>
        <xdr:cNvSpPr/>
      </xdr:nvSpPr>
      <xdr:spPr>
        <a:xfrm>
          <a:off x="7069792" y="2146313"/>
          <a:ext cx="1751497" cy="1050898"/>
        </a:xfrm>
        <a:custGeom>
          <a:avLst/>
          <a:gdLst>
            <a:gd name="connsiteX0" fmla="*/ 0 w 1751497"/>
            <a:gd name="connsiteY0" fmla="*/ 0 h 1050898"/>
            <a:gd name="connsiteX1" fmla="*/ 1751497 w 1751497"/>
            <a:gd name="connsiteY1" fmla="*/ 0 h 1050898"/>
            <a:gd name="connsiteX2" fmla="*/ 1751497 w 1751497"/>
            <a:gd name="connsiteY2" fmla="*/ 1050898 h 1050898"/>
            <a:gd name="connsiteX3" fmla="*/ 0 w 1751497"/>
            <a:gd name="connsiteY3" fmla="*/ 1050898 h 1050898"/>
            <a:gd name="connsiteX4" fmla="*/ 0 w 1751497"/>
            <a:gd name="connsiteY4" fmla="*/ 0 h 10508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751497" h="1050898">
              <a:moveTo>
                <a:pt x="0" y="0"/>
              </a:moveTo>
              <a:lnTo>
                <a:pt x="1751497" y="0"/>
              </a:lnTo>
              <a:lnTo>
                <a:pt x="1751497" y="1050898"/>
              </a:lnTo>
              <a:lnTo>
                <a:pt x="0" y="1050898"/>
              </a:lnTo>
              <a:lnTo>
                <a:pt x="0" y="0"/>
              </a:lnTo>
              <a:close/>
            </a:path>
          </a:pathLst>
        </a:custGeom>
        <a:scene3d>
          <a:camera prst="perspectiveLeft" zoom="91000"/>
          <a:lightRig rig="threePt" dir="t">
            <a:rot lat="0" lon="0" rev="20640000"/>
          </a:lightRig>
        </a:scene3d>
        <a:sp3d extrusionH="50600" prstMaterial="metal">
          <a:bevelT w="101600" h="80600" prst="relaxedInset"/>
          <a:bevelB w="80600" h="80600" prst="relaxedInset"/>
        </a:sp3d>
      </xdr:spPr>
      <xdr:style>
        <a:lnRef idx="0">
          <a:schemeClr val="lt1">
            <a:hueOff val="0"/>
            <a:satOff val="0"/>
            <a:lumOff val="0"/>
            <a:alphaOff val="0"/>
          </a:schemeClr>
        </a:lnRef>
        <a:fillRef idx="1">
          <a:schemeClr val="accent5">
            <a:hueOff val="0"/>
            <a:satOff val="0"/>
            <a:lumOff val="0"/>
            <a:alphaOff val="0"/>
          </a:schemeClr>
        </a:fillRef>
        <a:effectRef idx="1">
          <a:schemeClr val="accent5">
            <a:hueOff val="0"/>
            <a:satOff val="0"/>
            <a:lumOff val="0"/>
            <a:alphaOff val="0"/>
          </a:schemeClr>
        </a:effectRef>
        <a:fontRef idx="minor">
          <a:schemeClr val="dk1"/>
        </a:fontRef>
      </xdr:style>
      <xdr:txBody>
        <a:bodyPr spcFirstLastPara="0" vert="horz" wrap="square" lIns="163576" tIns="163576" rIns="163576" bIns="163576" numCol="1" spcCol="1270" anchor="ctr" anchorCtr="0">
          <a:noAutofit/>
        </a:bodyPr>
        <a:lstStyle/>
        <a:p>
          <a:pPr lvl="0" algn="ctr" defTabSz="10223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2300" kern="1200"/>
            <a:t>Sale Information</a:t>
          </a:r>
        </a:p>
      </xdr:txBody>
    </xdr:sp>
    <xdr:clientData/>
  </xdr:twoCellAnchor>
  <xdr:twoCellAnchor>
    <xdr:from>
      <xdr:col>15</xdr:col>
      <xdr:colOff>80135</xdr:colOff>
      <xdr:row>10</xdr:row>
      <xdr:rowOff>146063</xdr:rowOff>
    </xdr:from>
    <xdr:to>
      <xdr:col>18</xdr:col>
      <xdr:colOff>2832</xdr:colOff>
      <xdr:row>16</xdr:row>
      <xdr:rowOff>53961</xdr:rowOff>
    </xdr:to>
    <xdr:sp macro="" textlink="">
      <xdr:nvSpPr>
        <xdr:cNvPr id="37" name="Freeform 36">
          <a:hlinkClick xmlns:r="http://schemas.openxmlformats.org/officeDocument/2006/relationships" r:id="rId5"/>
        </xdr:cNvPr>
        <xdr:cNvSpPr/>
      </xdr:nvSpPr>
      <xdr:spPr>
        <a:xfrm>
          <a:off x="9224135" y="2146313"/>
          <a:ext cx="1751497" cy="1050898"/>
        </a:xfrm>
        <a:custGeom>
          <a:avLst/>
          <a:gdLst>
            <a:gd name="connsiteX0" fmla="*/ 0 w 1751497"/>
            <a:gd name="connsiteY0" fmla="*/ 0 h 1050898"/>
            <a:gd name="connsiteX1" fmla="*/ 1751497 w 1751497"/>
            <a:gd name="connsiteY1" fmla="*/ 0 h 1050898"/>
            <a:gd name="connsiteX2" fmla="*/ 1751497 w 1751497"/>
            <a:gd name="connsiteY2" fmla="*/ 1050898 h 1050898"/>
            <a:gd name="connsiteX3" fmla="*/ 0 w 1751497"/>
            <a:gd name="connsiteY3" fmla="*/ 1050898 h 1050898"/>
            <a:gd name="connsiteX4" fmla="*/ 0 w 1751497"/>
            <a:gd name="connsiteY4" fmla="*/ 0 h 10508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751497" h="1050898">
              <a:moveTo>
                <a:pt x="0" y="0"/>
              </a:moveTo>
              <a:lnTo>
                <a:pt x="1751497" y="0"/>
              </a:lnTo>
              <a:lnTo>
                <a:pt x="1751497" y="1050898"/>
              </a:lnTo>
              <a:lnTo>
                <a:pt x="0" y="1050898"/>
              </a:lnTo>
              <a:lnTo>
                <a:pt x="0" y="0"/>
              </a:lnTo>
              <a:close/>
            </a:path>
          </a:pathLst>
        </a:custGeom>
        <a:scene3d>
          <a:camera prst="perspectiveLeft" zoom="91000"/>
          <a:lightRig rig="threePt" dir="t">
            <a:rot lat="0" lon="0" rev="20640000"/>
          </a:lightRig>
        </a:scene3d>
        <a:sp3d extrusionH="50600" prstMaterial="metal">
          <a:bevelT w="101600" h="80600" prst="relaxedInset"/>
          <a:bevelB w="80600" h="80600" prst="relaxedInset"/>
        </a:sp3d>
      </xdr:spPr>
      <xdr:style>
        <a:lnRef idx="0">
          <a:schemeClr val="lt1">
            <a:hueOff val="0"/>
            <a:satOff val="0"/>
            <a:lumOff val="0"/>
            <a:alphaOff val="0"/>
          </a:schemeClr>
        </a:lnRef>
        <a:fillRef idx="1">
          <a:schemeClr val="accent6">
            <a:hueOff val="0"/>
            <a:satOff val="0"/>
            <a:lumOff val="0"/>
            <a:alphaOff val="0"/>
          </a:schemeClr>
        </a:fillRef>
        <a:effectRef idx="1">
          <a:schemeClr val="accent6">
            <a:hueOff val="0"/>
            <a:satOff val="0"/>
            <a:lumOff val="0"/>
            <a:alphaOff val="0"/>
          </a:schemeClr>
        </a:effectRef>
        <a:fontRef idx="minor">
          <a:schemeClr val="dk1"/>
        </a:fontRef>
      </xdr:style>
      <xdr:txBody>
        <a:bodyPr spcFirstLastPara="0" vert="horz" wrap="square" lIns="163576" tIns="163576" rIns="163576" bIns="163576" numCol="1" spcCol="1270" anchor="ctr" anchorCtr="0">
          <a:noAutofit/>
        </a:bodyPr>
        <a:lstStyle/>
        <a:p>
          <a:pPr lvl="0" algn="ctr" defTabSz="10223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2300" kern="1200"/>
            <a:t>Stock Information</a:t>
          </a:r>
        </a:p>
      </xdr:txBody>
    </xdr:sp>
    <xdr:clientData/>
  </xdr:twoCellAnchor>
  <xdr:twoCellAnchor>
    <xdr:from>
      <xdr:col>1</xdr:col>
      <xdr:colOff>18666</xdr:colOff>
      <xdr:row>17</xdr:row>
      <xdr:rowOff>180976</xdr:rowOff>
    </xdr:from>
    <xdr:to>
      <xdr:col>6</xdr:col>
      <xdr:colOff>19049</xdr:colOff>
      <xdr:row>23</xdr:row>
      <xdr:rowOff>0</xdr:rowOff>
    </xdr:to>
    <xdr:sp macro="" textlink="">
      <xdr:nvSpPr>
        <xdr:cNvPr id="23" name="Freeform 22">
          <a:hlinkClick xmlns:r="http://schemas.openxmlformats.org/officeDocument/2006/relationships" r:id="rId6"/>
        </xdr:cNvPr>
        <xdr:cNvSpPr/>
      </xdr:nvSpPr>
      <xdr:spPr>
        <a:xfrm>
          <a:off x="628266" y="3514726"/>
          <a:ext cx="3048383" cy="962024"/>
        </a:xfrm>
        <a:custGeom>
          <a:avLst/>
          <a:gdLst>
            <a:gd name="connsiteX0" fmla="*/ 0 w 2732372"/>
            <a:gd name="connsiteY0" fmla="*/ 116205 h 1162050"/>
            <a:gd name="connsiteX1" fmla="*/ 116205 w 2732372"/>
            <a:gd name="connsiteY1" fmla="*/ 0 h 1162050"/>
            <a:gd name="connsiteX2" fmla="*/ 2616167 w 2732372"/>
            <a:gd name="connsiteY2" fmla="*/ 0 h 1162050"/>
            <a:gd name="connsiteX3" fmla="*/ 2732372 w 2732372"/>
            <a:gd name="connsiteY3" fmla="*/ 116205 h 1162050"/>
            <a:gd name="connsiteX4" fmla="*/ 2732372 w 2732372"/>
            <a:gd name="connsiteY4" fmla="*/ 1045845 h 1162050"/>
            <a:gd name="connsiteX5" fmla="*/ 2616167 w 2732372"/>
            <a:gd name="connsiteY5" fmla="*/ 1162050 h 1162050"/>
            <a:gd name="connsiteX6" fmla="*/ 116205 w 2732372"/>
            <a:gd name="connsiteY6" fmla="*/ 1162050 h 1162050"/>
            <a:gd name="connsiteX7" fmla="*/ 0 w 2732372"/>
            <a:gd name="connsiteY7" fmla="*/ 1045845 h 1162050"/>
            <a:gd name="connsiteX8" fmla="*/ 0 w 2732372"/>
            <a:gd name="connsiteY8" fmla="*/ 116205 h 11620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2732372" h="1162050">
              <a:moveTo>
                <a:pt x="0" y="116205"/>
              </a:moveTo>
              <a:cubicBezTo>
                <a:pt x="0" y="52027"/>
                <a:pt x="52027" y="0"/>
                <a:pt x="116205" y="0"/>
              </a:cubicBezTo>
              <a:lnTo>
                <a:pt x="2616167" y="0"/>
              </a:lnTo>
              <a:cubicBezTo>
                <a:pt x="2680345" y="0"/>
                <a:pt x="2732372" y="52027"/>
                <a:pt x="2732372" y="116205"/>
              </a:cubicBezTo>
              <a:lnTo>
                <a:pt x="2732372" y="1045845"/>
              </a:lnTo>
              <a:cubicBezTo>
                <a:pt x="2732372" y="1110023"/>
                <a:pt x="2680345" y="1162050"/>
                <a:pt x="2616167" y="1162050"/>
              </a:cubicBezTo>
              <a:lnTo>
                <a:pt x="116205" y="1162050"/>
              </a:lnTo>
              <a:cubicBezTo>
                <a:pt x="52027" y="1162050"/>
                <a:pt x="0" y="1110023"/>
                <a:pt x="0" y="1045845"/>
              </a:cubicBezTo>
              <a:lnTo>
                <a:pt x="0" y="116205"/>
              </a:lnTo>
              <a:close/>
            </a:path>
          </a:pathLst>
        </a:custGeom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xdr:spPr>
      <xdr:style>
        <a:lnRef idx="0">
          <a:schemeClr val="lt1">
            <a:hueOff val="0"/>
            <a:satOff val="0"/>
            <a:lumOff val="0"/>
            <a:alphaOff val="0"/>
          </a:schemeClr>
        </a:lnRef>
        <a:fillRef idx="1">
          <a:schemeClr val="accent4">
            <a:hueOff val="0"/>
            <a:satOff val="0"/>
            <a:lumOff val="0"/>
            <a:alphaOff val="0"/>
          </a:schemeClr>
        </a:fillRef>
        <a:effectRef idx="2">
          <a:schemeClr val="accent4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17855" tIns="117855" rIns="117855" bIns="117855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2200" kern="1200"/>
            <a:t>Report of Purchase Information by Purchase Date</a:t>
          </a:r>
        </a:p>
      </xdr:txBody>
    </xdr:sp>
    <xdr:clientData/>
  </xdr:twoCellAnchor>
  <xdr:twoCellAnchor>
    <xdr:from>
      <xdr:col>7</xdr:col>
      <xdr:colOff>9524</xdr:colOff>
      <xdr:row>18</xdr:row>
      <xdr:rowOff>9525</xdr:rowOff>
    </xdr:from>
    <xdr:to>
      <xdr:col>11</xdr:col>
      <xdr:colOff>609599</xdr:colOff>
      <xdr:row>23</xdr:row>
      <xdr:rowOff>19051</xdr:rowOff>
    </xdr:to>
    <xdr:sp macro="" textlink="">
      <xdr:nvSpPr>
        <xdr:cNvPr id="25" name="Freeform 24">
          <a:hlinkClick xmlns:r="http://schemas.openxmlformats.org/officeDocument/2006/relationships" r:id="rId7"/>
        </xdr:cNvPr>
        <xdr:cNvSpPr/>
      </xdr:nvSpPr>
      <xdr:spPr>
        <a:xfrm>
          <a:off x="4276724" y="3533775"/>
          <a:ext cx="3038475" cy="962026"/>
        </a:xfrm>
        <a:custGeom>
          <a:avLst/>
          <a:gdLst>
            <a:gd name="connsiteX0" fmla="*/ 0 w 2732372"/>
            <a:gd name="connsiteY0" fmla="*/ 116205 h 1162050"/>
            <a:gd name="connsiteX1" fmla="*/ 116205 w 2732372"/>
            <a:gd name="connsiteY1" fmla="*/ 0 h 1162050"/>
            <a:gd name="connsiteX2" fmla="*/ 2616167 w 2732372"/>
            <a:gd name="connsiteY2" fmla="*/ 0 h 1162050"/>
            <a:gd name="connsiteX3" fmla="*/ 2732372 w 2732372"/>
            <a:gd name="connsiteY3" fmla="*/ 116205 h 1162050"/>
            <a:gd name="connsiteX4" fmla="*/ 2732372 w 2732372"/>
            <a:gd name="connsiteY4" fmla="*/ 1045845 h 1162050"/>
            <a:gd name="connsiteX5" fmla="*/ 2616167 w 2732372"/>
            <a:gd name="connsiteY5" fmla="*/ 1162050 h 1162050"/>
            <a:gd name="connsiteX6" fmla="*/ 116205 w 2732372"/>
            <a:gd name="connsiteY6" fmla="*/ 1162050 h 1162050"/>
            <a:gd name="connsiteX7" fmla="*/ 0 w 2732372"/>
            <a:gd name="connsiteY7" fmla="*/ 1045845 h 1162050"/>
            <a:gd name="connsiteX8" fmla="*/ 0 w 2732372"/>
            <a:gd name="connsiteY8" fmla="*/ 116205 h 11620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2732372" h="1162050">
              <a:moveTo>
                <a:pt x="0" y="116205"/>
              </a:moveTo>
              <a:cubicBezTo>
                <a:pt x="0" y="52027"/>
                <a:pt x="52027" y="0"/>
                <a:pt x="116205" y="0"/>
              </a:cubicBezTo>
              <a:lnTo>
                <a:pt x="2616167" y="0"/>
              </a:lnTo>
              <a:cubicBezTo>
                <a:pt x="2680345" y="0"/>
                <a:pt x="2732372" y="52027"/>
                <a:pt x="2732372" y="116205"/>
              </a:cubicBezTo>
              <a:lnTo>
                <a:pt x="2732372" y="1045845"/>
              </a:lnTo>
              <a:cubicBezTo>
                <a:pt x="2732372" y="1110023"/>
                <a:pt x="2680345" y="1162050"/>
                <a:pt x="2616167" y="1162050"/>
              </a:cubicBezTo>
              <a:lnTo>
                <a:pt x="116205" y="1162050"/>
              </a:lnTo>
              <a:cubicBezTo>
                <a:pt x="52027" y="1162050"/>
                <a:pt x="0" y="1110023"/>
                <a:pt x="0" y="1045845"/>
              </a:cubicBezTo>
              <a:lnTo>
                <a:pt x="0" y="116205"/>
              </a:lnTo>
              <a:close/>
            </a:path>
          </a:pathLst>
        </a:custGeom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xdr:spPr>
      <xdr:style>
        <a:lnRef idx="0">
          <a:schemeClr val="lt1">
            <a:hueOff val="0"/>
            <a:satOff val="0"/>
            <a:lumOff val="0"/>
            <a:alphaOff val="0"/>
          </a:schemeClr>
        </a:lnRef>
        <a:fillRef idx="1">
          <a:schemeClr val="accent4">
            <a:hueOff val="5197846"/>
            <a:satOff val="-23984"/>
            <a:lumOff val="883"/>
            <a:alphaOff val="0"/>
          </a:schemeClr>
        </a:fillRef>
        <a:effectRef idx="2">
          <a:schemeClr val="accent4">
            <a:hueOff val="5197846"/>
            <a:satOff val="-23984"/>
            <a:lumOff val="883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17855" tIns="117855" rIns="117855" bIns="117855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2200" kern="1200"/>
            <a:t>Report of Sale Information by Sale Date</a:t>
          </a:r>
        </a:p>
      </xdr:txBody>
    </xdr:sp>
    <xdr:clientData/>
  </xdr:twoCellAnchor>
  <xdr:twoCellAnchor>
    <xdr:from>
      <xdr:col>13</xdr:col>
      <xdr:colOff>0</xdr:colOff>
      <xdr:row>17</xdr:row>
      <xdr:rowOff>180976</xdr:rowOff>
    </xdr:from>
    <xdr:to>
      <xdr:col>18</xdr:col>
      <xdr:colOff>38483</xdr:colOff>
      <xdr:row>23</xdr:row>
      <xdr:rowOff>9525</xdr:rowOff>
    </xdr:to>
    <xdr:sp macro="" textlink="">
      <xdr:nvSpPr>
        <xdr:cNvPr id="27" name="Freeform 26">
          <a:hlinkClick xmlns:r="http://schemas.openxmlformats.org/officeDocument/2006/relationships" r:id="rId8"/>
        </xdr:cNvPr>
        <xdr:cNvSpPr/>
      </xdr:nvSpPr>
      <xdr:spPr>
        <a:xfrm>
          <a:off x="7924800" y="3514726"/>
          <a:ext cx="3086483" cy="971549"/>
        </a:xfrm>
        <a:custGeom>
          <a:avLst/>
          <a:gdLst>
            <a:gd name="connsiteX0" fmla="*/ 0 w 2732372"/>
            <a:gd name="connsiteY0" fmla="*/ 116205 h 1162050"/>
            <a:gd name="connsiteX1" fmla="*/ 116205 w 2732372"/>
            <a:gd name="connsiteY1" fmla="*/ 0 h 1162050"/>
            <a:gd name="connsiteX2" fmla="*/ 2616167 w 2732372"/>
            <a:gd name="connsiteY2" fmla="*/ 0 h 1162050"/>
            <a:gd name="connsiteX3" fmla="*/ 2732372 w 2732372"/>
            <a:gd name="connsiteY3" fmla="*/ 116205 h 1162050"/>
            <a:gd name="connsiteX4" fmla="*/ 2732372 w 2732372"/>
            <a:gd name="connsiteY4" fmla="*/ 1045845 h 1162050"/>
            <a:gd name="connsiteX5" fmla="*/ 2616167 w 2732372"/>
            <a:gd name="connsiteY5" fmla="*/ 1162050 h 1162050"/>
            <a:gd name="connsiteX6" fmla="*/ 116205 w 2732372"/>
            <a:gd name="connsiteY6" fmla="*/ 1162050 h 1162050"/>
            <a:gd name="connsiteX7" fmla="*/ 0 w 2732372"/>
            <a:gd name="connsiteY7" fmla="*/ 1045845 h 1162050"/>
            <a:gd name="connsiteX8" fmla="*/ 0 w 2732372"/>
            <a:gd name="connsiteY8" fmla="*/ 116205 h 11620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2732372" h="1162050">
              <a:moveTo>
                <a:pt x="0" y="116205"/>
              </a:moveTo>
              <a:cubicBezTo>
                <a:pt x="0" y="52027"/>
                <a:pt x="52027" y="0"/>
                <a:pt x="116205" y="0"/>
              </a:cubicBezTo>
              <a:lnTo>
                <a:pt x="2616167" y="0"/>
              </a:lnTo>
              <a:cubicBezTo>
                <a:pt x="2680345" y="0"/>
                <a:pt x="2732372" y="52027"/>
                <a:pt x="2732372" y="116205"/>
              </a:cubicBezTo>
              <a:lnTo>
                <a:pt x="2732372" y="1045845"/>
              </a:lnTo>
              <a:cubicBezTo>
                <a:pt x="2732372" y="1110023"/>
                <a:pt x="2680345" y="1162050"/>
                <a:pt x="2616167" y="1162050"/>
              </a:cubicBezTo>
              <a:lnTo>
                <a:pt x="116205" y="1162050"/>
              </a:lnTo>
              <a:cubicBezTo>
                <a:pt x="52027" y="1162050"/>
                <a:pt x="0" y="1110023"/>
                <a:pt x="0" y="1045845"/>
              </a:cubicBezTo>
              <a:lnTo>
                <a:pt x="0" y="116205"/>
              </a:lnTo>
              <a:close/>
            </a:path>
          </a:pathLst>
        </a:custGeom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xdr:spPr>
      <xdr:style>
        <a:lnRef idx="0">
          <a:schemeClr val="lt1">
            <a:hueOff val="0"/>
            <a:satOff val="0"/>
            <a:lumOff val="0"/>
            <a:alphaOff val="0"/>
          </a:schemeClr>
        </a:lnRef>
        <a:fillRef idx="1">
          <a:schemeClr val="accent4">
            <a:hueOff val="10395692"/>
            <a:satOff val="-47968"/>
            <a:lumOff val="1765"/>
            <a:alphaOff val="0"/>
          </a:schemeClr>
        </a:fillRef>
        <a:effectRef idx="2">
          <a:schemeClr val="accent4">
            <a:hueOff val="10395692"/>
            <a:satOff val="-47968"/>
            <a:lumOff val="1765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17855" tIns="117855" rIns="117855" bIns="117855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2200" kern="1200"/>
            <a:t>Report of Stock Information by Bike Modal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600076</xdr:colOff>
      <xdr:row>1</xdr:row>
      <xdr:rowOff>0</xdr:rowOff>
    </xdr:from>
    <xdr:to>
      <xdr:col>3</xdr:col>
      <xdr:colOff>38100</xdr:colOff>
      <xdr:row>3</xdr:row>
      <xdr:rowOff>9525</xdr:rowOff>
    </xdr:to>
    <xdr:sp macro="" textlink="">
      <xdr:nvSpPr>
        <xdr:cNvPr id="6" name="Flowchart: Terminator 5">
          <a:hlinkClick xmlns:r="http://schemas.openxmlformats.org/officeDocument/2006/relationships" r:id="rId1"/>
        </xdr:cNvPr>
        <xdr:cNvSpPr/>
      </xdr:nvSpPr>
      <xdr:spPr>
        <a:xfrm>
          <a:off x="600076" y="200025"/>
          <a:ext cx="1266824" cy="390525"/>
        </a:xfrm>
        <a:prstGeom prst="flowChartTerminator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0000"/>
              </a:solidFill>
            </a:rPr>
            <a:t>Home-Page</a:t>
          </a:r>
        </a:p>
      </xdr:txBody>
    </xdr:sp>
    <xdr:clientData/>
  </xdr:twoCellAnchor>
  <xdr:twoCellAnchor>
    <xdr:from>
      <xdr:col>1</xdr:col>
      <xdr:colOff>0</xdr:colOff>
      <xdr:row>3</xdr:row>
      <xdr:rowOff>190500</xdr:rowOff>
    </xdr:from>
    <xdr:to>
      <xdr:col>3</xdr:col>
      <xdr:colOff>0</xdr:colOff>
      <xdr:row>6</xdr:row>
      <xdr:rowOff>9525</xdr:rowOff>
    </xdr:to>
    <xdr:sp macro="" textlink="">
      <xdr:nvSpPr>
        <xdr:cNvPr id="7" name="Rounded Rectangle 6">
          <a:hlinkClick xmlns:r="http://schemas.openxmlformats.org/officeDocument/2006/relationships" r:id="rId1"/>
        </xdr:cNvPr>
        <xdr:cNvSpPr/>
      </xdr:nvSpPr>
      <xdr:spPr>
        <a:xfrm>
          <a:off x="609600" y="771525"/>
          <a:ext cx="1219200" cy="40005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Previous</a:t>
          </a:r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3</xdr:col>
      <xdr:colOff>0</xdr:colOff>
      <xdr:row>9</xdr:row>
      <xdr:rowOff>0</xdr:rowOff>
    </xdr:to>
    <xdr:sp macro="" textlink="">
      <xdr:nvSpPr>
        <xdr:cNvPr id="8" name="Rounded Rectangle 7">
          <a:hlinkClick xmlns:r="http://schemas.openxmlformats.org/officeDocument/2006/relationships" r:id="rId2"/>
        </xdr:cNvPr>
        <xdr:cNvSpPr/>
      </xdr:nvSpPr>
      <xdr:spPr>
        <a:xfrm>
          <a:off x="609600" y="1352550"/>
          <a:ext cx="1219200" cy="3810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Next</a:t>
          </a:r>
        </a:p>
      </xdr:txBody>
    </xdr:sp>
    <xdr:clientData/>
  </xdr:twoCellAnchor>
  <xdr:twoCellAnchor>
    <xdr:from>
      <xdr:col>4</xdr:col>
      <xdr:colOff>819150</xdr:colOff>
      <xdr:row>0</xdr:row>
      <xdr:rowOff>190500</xdr:rowOff>
    </xdr:from>
    <xdr:to>
      <xdr:col>9</xdr:col>
      <xdr:colOff>9525</xdr:colOff>
      <xdr:row>4</xdr:row>
      <xdr:rowOff>9525</xdr:rowOff>
    </xdr:to>
    <xdr:sp macro="" textlink="">
      <xdr:nvSpPr>
        <xdr:cNvPr id="2" name="TextBox 1"/>
        <xdr:cNvSpPr txBox="1"/>
      </xdr:nvSpPr>
      <xdr:spPr>
        <a:xfrm>
          <a:off x="3257550" y="190500"/>
          <a:ext cx="4219575" cy="609600"/>
        </a:xfrm>
        <a:prstGeom prst="rect">
          <a:avLst/>
        </a:prstGeom>
        <a:gradFill flip="none" rotWithShape="1">
          <a:gsLst>
            <a:gs pos="20000">
              <a:srgbClr val="FFFF99"/>
            </a:gs>
            <a:gs pos="58000">
              <a:srgbClr val="00FF00"/>
            </a:gs>
            <a:gs pos="92000">
              <a:srgbClr val="00FFFF"/>
            </a:gs>
          </a:gsLst>
          <a:path path="circle">
            <a:fillToRect l="100000" b="100000"/>
          </a:path>
          <a:tileRect t="-100000" r="-100000"/>
        </a:gradFill>
        <a:ln w="76200" cmpd="sng">
          <a:solidFill>
            <a:srgbClr val="FFFF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>
              <a:solidFill>
                <a:srgbClr val="FF0000"/>
              </a:solidFill>
              <a:latin typeface="Arial Black" panose="020B0A04020102020204" pitchFamily="34" charset="0"/>
            </a:rPr>
            <a:t>Bike Information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</xdr:rowOff>
    </xdr:from>
    <xdr:to>
      <xdr:col>3</xdr:col>
      <xdr:colOff>1</xdr:colOff>
      <xdr:row>3</xdr:row>
      <xdr:rowOff>1</xdr:rowOff>
    </xdr:to>
    <xdr:sp macro="" textlink="">
      <xdr:nvSpPr>
        <xdr:cNvPr id="4" name="Flowchart: Terminator 3">
          <a:hlinkClick xmlns:r="http://schemas.openxmlformats.org/officeDocument/2006/relationships" r:id="rId1"/>
        </xdr:cNvPr>
        <xdr:cNvSpPr/>
      </xdr:nvSpPr>
      <xdr:spPr>
        <a:xfrm>
          <a:off x="609600" y="200026"/>
          <a:ext cx="1219201" cy="381000"/>
        </a:xfrm>
        <a:prstGeom prst="flowChartTerminator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0000"/>
              </a:solidFill>
            </a:rPr>
            <a:t>Home-Page</a:t>
          </a:r>
        </a:p>
      </xdr:txBody>
    </xdr:sp>
    <xdr:clientData/>
  </xdr:twoCellAnchor>
  <xdr:twoCellAnchor>
    <xdr:from>
      <xdr:col>1</xdr:col>
      <xdr:colOff>9525</xdr:colOff>
      <xdr:row>4</xdr:row>
      <xdr:rowOff>0</xdr:rowOff>
    </xdr:from>
    <xdr:to>
      <xdr:col>2</xdr:col>
      <xdr:colOff>600075</xdr:colOff>
      <xdr:row>5</xdr:row>
      <xdr:rowOff>180975</xdr:rowOff>
    </xdr:to>
    <xdr:sp macro="" textlink="">
      <xdr:nvSpPr>
        <xdr:cNvPr id="6" name="Rounded Rectangle 5">
          <a:hlinkClick xmlns:r="http://schemas.openxmlformats.org/officeDocument/2006/relationships" r:id="rId2"/>
        </xdr:cNvPr>
        <xdr:cNvSpPr/>
      </xdr:nvSpPr>
      <xdr:spPr>
        <a:xfrm>
          <a:off x="619125" y="781050"/>
          <a:ext cx="1200150" cy="37147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Previous</a:t>
          </a:r>
        </a:p>
      </xdr:txBody>
    </xdr:sp>
    <xdr:clientData/>
  </xdr:twoCellAnchor>
  <xdr:twoCellAnchor>
    <xdr:from>
      <xdr:col>1</xdr:col>
      <xdr:colOff>9525</xdr:colOff>
      <xdr:row>6</xdr:row>
      <xdr:rowOff>180975</xdr:rowOff>
    </xdr:from>
    <xdr:to>
      <xdr:col>2</xdr:col>
      <xdr:colOff>600075</xdr:colOff>
      <xdr:row>8</xdr:row>
      <xdr:rowOff>180975</xdr:rowOff>
    </xdr:to>
    <xdr:sp macro="" textlink="">
      <xdr:nvSpPr>
        <xdr:cNvPr id="7" name="Rounded Rectangle 6">
          <a:hlinkClick xmlns:r="http://schemas.openxmlformats.org/officeDocument/2006/relationships" r:id="rId3"/>
        </xdr:cNvPr>
        <xdr:cNvSpPr/>
      </xdr:nvSpPr>
      <xdr:spPr>
        <a:xfrm>
          <a:off x="619125" y="1343025"/>
          <a:ext cx="1200150" cy="3810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Next</a:t>
          </a:r>
        </a:p>
      </xdr:txBody>
    </xdr:sp>
    <xdr:clientData/>
  </xdr:twoCellAnchor>
  <xdr:twoCellAnchor>
    <xdr:from>
      <xdr:col>4</xdr:col>
      <xdr:colOff>885825</xdr:colOff>
      <xdr:row>0</xdr:row>
      <xdr:rowOff>180975</xdr:rowOff>
    </xdr:from>
    <xdr:to>
      <xdr:col>9</xdr:col>
      <xdr:colOff>19050</xdr:colOff>
      <xdr:row>4</xdr:row>
      <xdr:rowOff>9525</xdr:rowOff>
    </xdr:to>
    <xdr:sp macro="" textlink="">
      <xdr:nvSpPr>
        <xdr:cNvPr id="2" name="TextBox 1"/>
        <xdr:cNvSpPr txBox="1"/>
      </xdr:nvSpPr>
      <xdr:spPr>
        <a:xfrm>
          <a:off x="3305175" y="180975"/>
          <a:ext cx="4962525" cy="609600"/>
        </a:xfrm>
        <a:prstGeom prst="rect">
          <a:avLst/>
        </a:prstGeom>
        <a:gradFill flip="none" rotWithShape="1">
          <a:gsLst>
            <a:gs pos="20000">
              <a:srgbClr val="FFFF99"/>
            </a:gs>
            <a:gs pos="58000">
              <a:srgbClr val="00FF00"/>
            </a:gs>
            <a:gs pos="92000">
              <a:srgbClr val="00FFFF"/>
            </a:gs>
          </a:gsLst>
          <a:lin ang="13500000" scaled="1"/>
          <a:tileRect/>
        </a:gradFill>
        <a:ln w="76200" cmpd="sng">
          <a:solidFill>
            <a:srgbClr val="FFFF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>
              <a:solidFill>
                <a:srgbClr val="FF0000"/>
              </a:solidFill>
              <a:latin typeface="Arial Black" panose="020B0A04020102020204" pitchFamily="34" charset="0"/>
            </a:rPr>
            <a:t>Purchase Information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19049</xdr:colOff>
      <xdr:row>1</xdr:row>
      <xdr:rowOff>1</xdr:rowOff>
    </xdr:from>
    <xdr:to>
      <xdr:col>3</xdr:col>
      <xdr:colOff>9524</xdr:colOff>
      <xdr:row>3</xdr:row>
      <xdr:rowOff>1</xdr:rowOff>
    </xdr:to>
    <xdr:sp macro="" textlink="">
      <xdr:nvSpPr>
        <xdr:cNvPr id="4" name="Flowchart: Terminator 3">
          <a:hlinkClick xmlns:r="http://schemas.openxmlformats.org/officeDocument/2006/relationships" r:id="rId1"/>
        </xdr:cNvPr>
        <xdr:cNvSpPr/>
      </xdr:nvSpPr>
      <xdr:spPr>
        <a:xfrm>
          <a:off x="628649" y="200026"/>
          <a:ext cx="1209675" cy="381000"/>
        </a:xfrm>
        <a:prstGeom prst="flowChartTerminator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0000"/>
              </a:solidFill>
            </a:rPr>
            <a:t>Home-Page</a:t>
          </a:r>
        </a:p>
      </xdr:txBody>
    </xdr:sp>
    <xdr:clientData/>
  </xdr:twoCellAnchor>
  <xdr:twoCellAnchor>
    <xdr:from>
      <xdr:col>1</xdr:col>
      <xdr:colOff>0</xdr:colOff>
      <xdr:row>4</xdr:row>
      <xdr:rowOff>9525</xdr:rowOff>
    </xdr:from>
    <xdr:to>
      <xdr:col>3</xdr:col>
      <xdr:colOff>9526</xdr:colOff>
      <xdr:row>6</xdr:row>
      <xdr:rowOff>0</xdr:rowOff>
    </xdr:to>
    <xdr:sp macro="" textlink="">
      <xdr:nvSpPr>
        <xdr:cNvPr id="6" name="Rounded Rectangle 5">
          <a:hlinkClick xmlns:r="http://schemas.openxmlformats.org/officeDocument/2006/relationships" r:id="rId2"/>
        </xdr:cNvPr>
        <xdr:cNvSpPr/>
      </xdr:nvSpPr>
      <xdr:spPr>
        <a:xfrm>
          <a:off x="609600" y="790575"/>
          <a:ext cx="1228726" cy="37147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Previous</a:t>
          </a:r>
        </a:p>
      </xdr:txBody>
    </xdr:sp>
    <xdr:clientData/>
  </xdr:twoCellAnchor>
  <xdr:twoCellAnchor>
    <xdr:from>
      <xdr:col>1</xdr:col>
      <xdr:colOff>9525</xdr:colOff>
      <xdr:row>7</xdr:row>
      <xdr:rowOff>9525</xdr:rowOff>
    </xdr:from>
    <xdr:to>
      <xdr:col>3</xdr:col>
      <xdr:colOff>0</xdr:colOff>
      <xdr:row>9</xdr:row>
      <xdr:rowOff>9525</xdr:rowOff>
    </xdr:to>
    <xdr:sp macro="" textlink="">
      <xdr:nvSpPr>
        <xdr:cNvPr id="7" name="Rounded Rectangle 6">
          <a:hlinkClick xmlns:r="http://schemas.openxmlformats.org/officeDocument/2006/relationships" r:id="rId3"/>
        </xdr:cNvPr>
        <xdr:cNvSpPr/>
      </xdr:nvSpPr>
      <xdr:spPr>
        <a:xfrm>
          <a:off x="619125" y="1362075"/>
          <a:ext cx="1209675" cy="3810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Next</a:t>
          </a:r>
        </a:p>
      </xdr:txBody>
    </xdr:sp>
    <xdr:clientData/>
  </xdr:twoCellAnchor>
  <xdr:twoCellAnchor>
    <xdr:from>
      <xdr:col>4</xdr:col>
      <xdr:colOff>952500</xdr:colOff>
      <xdr:row>0</xdr:row>
      <xdr:rowOff>180975</xdr:rowOff>
    </xdr:from>
    <xdr:to>
      <xdr:col>9</xdr:col>
      <xdr:colOff>9525</xdr:colOff>
      <xdr:row>4</xdr:row>
      <xdr:rowOff>9525</xdr:rowOff>
    </xdr:to>
    <xdr:sp macro="" textlink="">
      <xdr:nvSpPr>
        <xdr:cNvPr id="2" name="TextBox 1"/>
        <xdr:cNvSpPr txBox="1"/>
      </xdr:nvSpPr>
      <xdr:spPr>
        <a:xfrm>
          <a:off x="3390900" y="180975"/>
          <a:ext cx="4371975" cy="619125"/>
        </a:xfrm>
        <a:prstGeom prst="rect">
          <a:avLst/>
        </a:prstGeom>
        <a:gradFill flip="none" rotWithShape="1">
          <a:gsLst>
            <a:gs pos="20000">
              <a:srgbClr val="FFFF99"/>
            </a:gs>
            <a:gs pos="58000">
              <a:srgbClr val="00FF00"/>
            </a:gs>
            <a:gs pos="92000">
              <a:srgbClr val="00FFFF"/>
            </a:gs>
          </a:gsLst>
          <a:path path="circle">
            <a:fillToRect l="50000" t="50000" r="50000" b="50000"/>
          </a:path>
          <a:tileRect/>
        </a:gradFill>
        <a:ln w="76200" cmpd="sng">
          <a:solidFill>
            <a:srgbClr val="FFFF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>
              <a:solidFill>
                <a:srgbClr val="FF0000"/>
              </a:solidFill>
              <a:latin typeface="Arial Black" panose="020B0A04020102020204" pitchFamily="34" charset="0"/>
            </a:rPr>
            <a:t>Sale</a:t>
          </a:r>
          <a:r>
            <a:rPr lang="en-US" sz="2400" baseline="0">
              <a:solidFill>
                <a:srgbClr val="FF0000"/>
              </a:solidFill>
              <a:latin typeface="Arial Black" panose="020B0A04020102020204" pitchFamily="34" charset="0"/>
            </a:rPr>
            <a:t> Information</a:t>
          </a:r>
          <a:endParaRPr lang="en-US" sz="2400">
            <a:solidFill>
              <a:srgbClr val="FF0000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9525</xdr:rowOff>
    </xdr:from>
    <xdr:to>
      <xdr:col>3</xdr:col>
      <xdr:colOff>2</xdr:colOff>
      <xdr:row>3</xdr:row>
      <xdr:rowOff>9524</xdr:rowOff>
    </xdr:to>
    <xdr:sp macro="" textlink="">
      <xdr:nvSpPr>
        <xdr:cNvPr id="4" name="Flowchart: Terminator 3">
          <a:hlinkClick xmlns:r="http://schemas.openxmlformats.org/officeDocument/2006/relationships" r:id="rId1"/>
        </xdr:cNvPr>
        <xdr:cNvSpPr/>
      </xdr:nvSpPr>
      <xdr:spPr>
        <a:xfrm>
          <a:off x="609600" y="209550"/>
          <a:ext cx="1219202" cy="380999"/>
        </a:xfrm>
        <a:prstGeom prst="flowChartTerminator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0000"/>
              </a:solidFill>
            </a:rPr>
            <a:t>Home-Page</a:t>
          </a:r>
        </a:p>
      </xdr:txBody>
    </xdr:sp>
    <xdr:clientData/>
  </xdr:twoCellAnchor>
  <xdr:twoCellAnchor>
    <xdr:from>
      <xdr:col>0</xdr:col>
      <xdr:colOff>600075</xdr:colOff>
      <xdr:row>3</xdr:row>
      <xdr:rowOff>190500</xdr:rowOff>
    </xdr:from>
    <xdr:to>
      <xdr:col>3</xdr:col>
      <xdr:colOff>0</xdr:colOff>
      <xdr:row>6</xdr:row>
      <xdr:rowOff>0</xdr:rowOff>
    </xdr:to>
    <xdr:sp macro="" textlink="">
      <xdr:nvSpPr>
        <xdr:cNvPr id="6" name="Rounded Rectangle 5">
          <a:hlinkClick xmlns:r="http://schemas.openxmlformats.org/officeDocument/2006/relationships" r:id="rId2"/>
        </xdr:cNvPr>
        <xdr:cNvSpPr/>
      </xdr:nvSpPr>
      <xdr:spPr>
        <a:xfrm>
          <a:off x="600075" y="771525"/>
          <a:ext cx="1228725" cy="39052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Previous</a:t>
          </a:r>
        </a:p>
      </xdr:txBody>
    </xdr:sp>
    <xdr:clientData/>
  </xdr:twoCellAnchor>
  <xdr:twoCellAnchor>
    <xdr:from>
      <xdr:col>0</xdr:col>
      <xdr:colOff>600075</xdr:colOff>
      <xdr:row>6</xdr:row>
      <xdr:rowOff>180975</xdr:rowOff>
    </xdr:from>
    <xdr:to>
      <xdr:col>2</xdr:col>
      <xdr:colOff>600075</xdr:colOff>
      <xdr:row>9</xdr:row>
      <xdr:rowOff>9525</xdr:rowOff>
    </xdr:to>
    <xdr:sp macro="" textlink="">
      <xdr:nvSpPr>
        <xdr:cNvPr id="7" name="Rounded Rectangle 6">
          <a:hlinkClick xmlns:r="http://schemas.openxmlformats.org/officeDocument/2006/relationships" r:id="rId3"/>
        </xdr:cNvPr>
        <xdr:cNvSpPr/>
      </xdr:nvSpPr>
      <xdr:spPr>
        <a:xfrm>
          <a:off x="600075" y="1343025"/>
          <a:ext cx="1219200" cy="40005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Next</a:t>
          </a:r>
        </a:p>
      </xdr:txBody>
    </xdr:sp>
    <xdr:clientData/>
  </xdr:twoCellAnchor>
  <xdr:twoCellAnchor>
    <xdr:from>
      <xdr:col>4</xdr:col>
      <xdr:colOff>1000125</xdr:colOff>
      <xdr:row>0</xdr:row>
      <xdr:rowOff>180975</xdr:rowOff>
    </xdr:from>
    <xdr:to>
      <xdr:col>9</xdr:col>
      <xdr:colOff>9525</xdr:colOff>
      <xdr:row>4</xdr:row>
      <xdr:rowOff>19050</xdr:rowOff>
    </xdr:to>
    <xdr:sp macro="" textlink="">
      <xdr:nvSpPr>
        <xdr:cNvPr id="2" name="TextBox 1"/>
        <xdr:cNvSpPr txBox="1"/>
      </xdr:nvSpPr>
      <xdr:spPr>
        <a:xfrm>
          <a:off x="3438525" y="180975"/>
          <a:ext cx="5172075" cy="628650"/>
        </a:xfrm>
        <a:prstGeom prst="rect">
          <a:avLst/>
        </a:prstGeom>
        <a:gradFill flip="none" rotWithShape="1">
          <a:gsLst>
            <a:gs pos="20000">
              <a:srgbClr val="FFFF99"/>
            </a:gs>
            <a:gs pos="58000">
              <a:srgbClr val="00FF00"/>
            </a:gs>
            <a:gs pos="92000">
              <a:srgbClr val="00FFFF"/>
            </a:gs>
          </a:gsLst>
          <a:path path="circle">
            <a:fillToRect r="100000" b="100000"/>
          </a:path>
          <a:tileRect l="-100000" t="-100000"/>
        </a:gradFill>
        <a:ln w="76200" cmpd="sng">
          <a:solidFill>
            <a:srgbClr val="FFFF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>
              <a:solidFill>
                <a:srgbClr val="FF0000"/>
              </a:solidFill>
              <a:latin typeface="Arial Black" panose="020B0A04020102020204" pitchFamily="34" charset="0"/>
            </a:rPr>
            <a:t>Stock</a:t>
          </a:r>
          <a:r>
            <a:rPr lang="en-US" sz="2400" baseline="0">
              <a:solidFill>
                <a:srgbClr val="FF0000"/>
              </a:solidFill>
              <a:latin typeface="Arial Black" panose="020B0A04020102020204" pitchFamily="34" charset="0"/>
            </a:rPr>
            <a:t> Information</a:t>
          </a:r>
          <a:endParaRPr lang="en-US" sz="2400">
            <a:solidFill>
              <a:srgbClr val="FF0000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1</xdr:row>
      <xdr:rowOff>0</xdr:rowOff>
    </xdr:from>
    <xdr:to>
      <xdr:col>1</xdr:col>
      <xdr:colOff>1533524</xdr:colOff>
      <xdr:row>2</xdr:row>
      <xdr:rowOff>180976</xdr:rowOff>
    </xdr:to>
    <xdr:sp macro="" textlink="">
      <xdr:nvSpPr>
        <xdr:cNvPr id="3" name="Flowchart: Terminator 2">
          <a:hlinkClick xmlns:r="http://schemas.openxmlformats.org/officeDocument/2006/relationships" r:id="rId1"/>
        </xdr:cNvPr>
        <xdr:cNvSpPr/>
      </xdr:nvSpPr>
      <xdr:spPr>
        <a:xfrm>
          <a:off x="609599" y="200025"/>
          <a:ext cx="1533525" cy="371476"/>
        </a:xfrm>
        <a:prstGeom prst="flowChartTerminator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0000"/>
              </a:solidFill>
            </a:rPr>
            <a:t>Home-Page</a:t>
          </a:r>
        </a:p>
      </xdr:txBody>
    </xdr:sp>
    <xdr:clientData/>
  </xdr:twoCellAnchor>
  <xdr:twoCellAnchor>
    <xdr:from>
      <xdr:col>3</xdr:col>
      <xdr:colOff>9525</xdr:colOff>
      <xdr:row>1</xdr:row>
      <xdr:rowOff>9525</xdr:rowOff>
    </xdr:from>
    <xdr:to>
      <xdr:col>6</xdr:col>
      <xdr:colOff>1619249</xdr:colOff>
      <xdr:row>3</xdr:row>
      <xdr:rowOff>190500</xdr:rowOff>
    </xdr:to>
    <xdr:sp macro="" textlink="">
      <xdr:nvSpPr>
        <xdr:cNvPr id="5" name="TextBox 4"/>
        <xdr:cNvSpPr txBox="1"/>
      </xdr:nvSpPr>
      <xdr:spPr>
        <a:xfrm>
          <a:off x="3476625" y="209550"/>
          <a:ext cx="5924549" cy="561975"/>
        </a:xfrm>
        <a:prstGeom prst="rect">
          <a:avLst/>
        </a:prstGeom>
        <a:gradFill flip="none" rotWithShape="1">
          <a:gsLst>
            <a:gs pos="5000">
              <a:srgbClr val="FF66FF"/>
            </a:gs>
            <a:gs pos="39000">
              <a:srgbClr val="FFFF99"/>
            </a:gs>
            <a:gs pos="82000">
              <a:srgbClr val="00FFFF"/>
            </a:gs>
          </a:gsLst>
          <a:lin ang="13500000" scaled="1"/>
          <a:tileRect/>
        </a:gradFill>
        <a:ln w="7620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 i="1" cap="none" spc="0">
              <a:ln w="12700">
                <a:solidFill>
                  <a:schemeClr val="accent5"/>
                </a:solidFill>
                <a:prstDash val="solid"/>
              </a:ln>
              <a:solidFill>
                <a:sysClr val="windowText" lastClr="000000"/>
              </a:solidFill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Repor</a:t>
          </a:r>
          <a:r>
            <a:rPr lang="en-US" sz="2000" b="1" i="1" cap="none" spc="0" baseline="0">
              <a:ln w="12700">
                <a:solidFill>
                  <a:schemeClr val="accent5"/>
                </a:solidFill>
                <a:prstDash val="solid"/>
              </a:ln>
              <a:solidFill>
                <a:sysClr val="windowText" lastClr="000000"/>
              </a:solidFill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t of Purchase Information by Purchase Date</a:t>
          </a:r>
          <a:endParaRPr lang="en-US" sz="2000" b="1" i="1" cap="none" spc="0">
            <a:ln w="12700">
              <a:solidFill>
                <a:schemeClr val="accent5"/>
              </a:solidFill>
              <a:prstDash val="solid"/>
            </a:ln>
            <a:solidFill>
              <a:sysClr val="windowText" lastClr="000000"/>
            </a:solidFill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0</xdr:colOff>
      <xdr:row>3</xdr:row>
      <xdr:rowOff>190500</xdr:rowOff>
    </xdr:from>
    <xdr:to>
      <xdr:col>2</xdr:col>
      <xdr:colOff>0</xdr:colOff>
      <xdr:row>5</xdr:row>
      <xdr:rowOff>9525</xdr:rowOff>
    </xdr:to>
    <xdr:sp macro="" textlink="">
      <xdr:nvSpPr>
        <xdr:cNvPr id="6" name="Rounded Rectangle 5">
          <a:hlinkClick xmlns:r="http://schemas.openxmlformats.org/officeDocument/2006/relationships" r:id="rId2"/>
        </xdr:cNvPr>
        <xdr:cNvSpPr/>
      </xdr:nvSpPr>
      <xdr:spPr>
        <a:xfrm>
          <a:off x="609600" y="771525"/>
          <a:ext cx="1543050" cy="3048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Previous</a:t>
          </a:r>
        </a:p>
      </xdr:txBody>
    </xdr:sp>
    <xdr:clientData/>
  </xdr:twoCellAnchor>
  <xdr:twoCellAnchor>
    <xdr:from>
      <xdr:col>0</xdr:col>
      <xdr:colOff>590550</xdr:colOff>
      <xdr:row>5</xdr:row>
      <xdr:rowOff>190500</xdr:rowOff>
    </xdr:from>
    <xdr:to>
      <xdr:col>2</xdr:col>
      <xdr:colOff>19050</xdr:colOff>
      <xdr:row>7</xdr:row>
      <xdr:rowOff>9525</xdr:rowOff>
    </xdr:to>
    <xdr:sp macro="" textlink="">
      <xdr:nvSpPr>
        <xdr:cNvPr id="7" name="Rounded Rectangle 6">
          <a:hlinkClick xmlns:r="http://schemas.openxmlformats.org/officeDocument/2006/relationships" r:id="rId3"/>
        </xdr:cNvPr>
        <xdr:cNvSpPr/>
      </xdr:nvSpPr>
      <xdr:spPr>
        <a:xfrm>
          <a:off x="590550" y="1257300"/>
          <a:ext cx="1581150" cy="3048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Next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190500</xdr:rowOff>
        </xdr:from>
        <xdr:to>
          <xdr:col>7</xdr:col>
          <xdr:colOff>28575</xdr:colOff>
          <xdr:row>8</xdr:row>
          <xdr:rowOff>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1</xdr:rowOff>
    </xdr:from>
    <xdr:to>
      <xdr:col>1</xdr:col>
      <xdr:colOff>1247775</xdr:colOff>
      <xdr:row>2</xdr:row>
      <xdr:rowOff>180975</xdr:rowOff>
    </xdr:to>
    <xdr:sp macro="" textlink="">
      <xdr:nvSpPr>
        <xdr:cNvPr id="3" name="Flowchart: Terminator 2">
          <a:hlinkClick xmlns:r="http://schemas.openxmlformats.org/officeDocument/2006/relationships" r:id="rId1"/>
        </xdr:cNvPr>
        <xdr:cNvSpPr/>
      </xdr:nvSpPr>
      <xdr:spPr>
        <a:xfrm>
          <a:off x="619125" y="200026"/>
          <a:ext cx="1238250" cy="371474"/>
        </a:xfrm>
        <a:prstGeom prst="flowChartTerminator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0000"/>
              </a:solidFill>
            </a:rPr>
            <a:t>Home-Page</a:t>
          </a:r>
        </a:p>
      </xdr:txBody>
    </xdr:sp>
    <xdr:clientData/>
  </xdr:twoCellAnchor>
  <xdr:twoCellAnchor>
    <xdr:from>
      <xdr:col>3</xdr:col>
      <xdr:colOff>0</xdr:colOff>
      <xdr:row>1</xdr:row>
      <xdr:rowOff>9525</xdr:rowOff>
    </xdr:from>
    <xdr:to>
      <xdr:col>7</xdr:col>
      <xdr:colOff>0</xdr:colOff>
      <xdr:row>3</xdr:row>
      <xdr:rowOff>180975</xdr:rowOff>
    </xdr:to>
    <xdr:sp macro="" textlink="">
      <xdr:nvSpPr>
        <xdr:cNvPr id="5" name="TextBox 4"/>
        <xdr:cNvSpPr txBox="1"/>
      </xdr:nvSpPr>
      <xdr:spPr>
        <a:xfrm>
          <a:off x="3019425" y="209550"/>
          <a:ext cx="5467350" cy="552450"/>
        </a:xfrm>
        <a:prstGeom prst="rect">
          <a:avLst/>
        </a:prstGeom>
        <a:gradFill flip="none" rotWithShape="1">
          <a:gsLst>
            <a:gs pos="0">
              <a:srgbClr val="FF66FF"/>
            </a:gs>
            <a:gs pos="50000">
              <a:srgbClr val="FFFF00">
                <a:tint val="44500"/>
                <a:satMod val="160000"/>
              </a:srgbClr>
            </a:gs>
            <a:gs pos="100000">
              <a:srgbClr val="00FFFF"/>
            </a:gs>
          </a:gsLst>
          <a:path path="circle">
            <a:fillToRect l="100000" t="100000"/>
          </a:path>
          <a:tileRect r="-100000" b="-100000"/>
        </a:gradFill>
        <a:ln w="7620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 i="1" cap="none" spc="0">
              <a:ln w="12700">
                <a:solidFill>
                  <a:schemeClr val="accent5"/>
                </a:solidFill>
                <a:prstDash val="solid"/>
              </a:ln>
              <a:solidFill>
                <a:sysClr val="windowText" lastClr="000000"/>
              </a:solidFill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Report</a:t>
          </a:r>
          <a:r>
            <a:rPr lang="en-US" sz="2000" b="1" i="1" cap="none" spc="0" baseline="0">
              <a:ln w="12700">
                <a:solidFill>
                  <a:schemeClr val="accent5"/>
                </a:solidFill>
                <a:prstDash val="solid"/>
              </a:ln>
              <a:solidFill>
                <a:sysClr val="windowText" lastClr="000000"/>
              </a:solidFill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 of Sale Information by Sale Date</a:t>
          </a:r>
          <a:endParaRPr lang="en-US" sz="2000" b="1" i="1" cap="none" spc="0">
            <a:ln w="12700">
              <a:solidFill>
                <a:schemeClr val="accent5"/>
              </a:solidFill>
              <a:prstDash val="solid"/>
            </a:ln>
            <a:solidFill>
              <a:sysClr val="windowText" lastClr="000000"/>
            </a:solidFill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600074</xdr:colOff>
      <xdr:row>4</xdr:row>
      <xdr:rowOff>9525</xdr:rowOff>
    </xdr:from>
    <xdr:to>
      <xdr:col>1</xdr:col>
      <xdr:colOff>1257299</xdr:colOff>
      <xdr:row>5</xdr:row>
      <xdr:rowOff>0</xdr:rowOff>
    </xdr:to>
    <xdr:sp macro="" textlink="">
      <xdr:nvSpPr>
        <xdr:cNvPr id="6" name="Rounded Rectangle 5">
          <a:hlinkClick xmlns:r="http://schemas.openxmlformats.org/officeDocument/2006/relationships" r:id="rId2"/>
        </xdr:cNvPr>
        <xdr:cNvSpPr/>
      </xdr:nvSpPr>
      <xdr:spPr>
        <a:xfrm>
          <a:off x="600074" y="790575"/>
          <a:ext cx="1266825" cy="2667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Previous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2</xdr:col>
      <xdr:colOff>0</xdr:colOff>
      <xdr:row>7</xdr:row>
      <xdr:rowOff>9525</xdr:rowOff>
    </xdr:to>
    <xdr:sp macro="" textlink="">
      <xdr:nvSpPr>
        <xdr:cNvPr id="7" name="Rounded Rectangle 6">
          <a:hlinkClick xmlns:r="http://schemas.openxmlformats.org/officeDocument/2006/relationships" r:id="rId3"/>
        </xdr:cNvPr>
        <xdr:cNvSpPr/>
      </xdr:nvSpPr>
      <xdr:spPr>
        <a:xfrm>
          <a:off x="609600" y="1362075"/>
          <a:ext cx="1257300" cy="31432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Next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1304925</xdr:colOff>
          <xdr:row>6</xdr:row>
          <xdr:rowOff>342900</xdr:rowOff>
        </xdr:from>
        <xdr:to>
          <xdr:col>6</xdr:col>
          <xdr:colOff>0</xdr:colOff>
          <xdr:row>9</xdr:row>
          <xdr:rowOff>9525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9525</xdr:rowOff>
    </xdr:from>
    <xdr:to>
      <xdr:col>2</xdr:col>
      <xdr:colOff>28575</xdr:colOff>
      <xdr:row>2</xdr:row>
      <xdr:rowOff>180975</xdr:rowOff>
    </xdr:to>
    <xdr:sp macro="" textlink="">
      <xdr:nvSpPr>
        <xdr:cNvPr id="4" name="Flowchart: Terminator 3">
          <a:hlinkClick xmlns:r="http://schemas.openxmlformats.org/officeDocument/2006/relationships" r:id="rId1"/>
        </xdr:cNvPr>
        <xdr:cNvSpPr/>
      </xdr:nvSpPr>
      <xdr:spPr>
        <a:xfrm>
          <a:off x="619125" y="209550"/>
          <a:ext cx="1285875" cy="361950"/>
        </a:xfrm>
        <a:prstGeom prst="flowChartTerminator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0000"/>
              </a:solidFill>
            </a:rPr>
            <a:t>Home-Page</a:t>
          </a:r>
        </a:p>
      </xdr:txBody>
    </xdr:sp>
    <xdr:clientData/>
  </xdr:twoCellAnchor>
  <xdr:twoCellAnchor>
    <xdr:from>
      <xdr:col>3</xdr:col>
      <xdr:colOff>0</xdr:colOff>
      <xdr:row>1</xdr:row>
      <xdr:rowOff>9524</xdr:rowOff>
    </xdr:from>
    <xdr:to>
      <xdr:col>5</xdr:col>
      <xdr:colOff>2085975</xdr:colOff>
      <xdr:row>3</xdr:row>
      <xdr:rowOff>180973</xdr:rowOff>
    </xdr:to>
    <xdr:sp macro="" textlink="">
      <xdr:nvSpPr>
        <xdr:cNvPr id="3" name="TextBox 2"/>
        <xdr:cNvSpPr txBox="1"/>
      </xdr:nvSpPr>
      <xdr:spPr>
        <a:xfrm>
          <a:off x="3381375" y="209549"/>
          <a:ext cx="5467350" cy="552449"/>
        </a:xfrm>
        <a:prstGeom prst="rect">
          <a:avLst/>
        </a:prstGeom>
        <a:gradFill flip="none" rotWithShape="1">
          <a:gsLst>
            <a:gs pos="85000">
              <a:srgbClr val="FF66FF"/>
            </a:gs>
            <a:gs pos="0">
              <a:srgbClr val="00FFFF"/>
            </a:gs>
            <a:gs pos="51000">
              <a:srgbClr val="FFFF00">
                <a:tint val="44500"/>
                <a:satMod val="160000"/>
              </a:srgbClr>
            </a:gs>
          </a:gsLst>
          <a:lin ang="8100000" scaled="1"/>
          <a:tileRect/>
        </a:gradFill>
        <a:ln w="7620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 i="1" cap="none" spc="0">
              <a:ln w="12700">
                <a:solidFill>
                  <a:schemeClr val="accent5"/>
                </a:solidFill>
                <a:prstDash val="solid"/>
              </a:ln>
              <a:solidFill>
                <a:sysClr val="windowText" lastClr="000000"/>
              </a:solidFill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Report of Stock</a:t>
          </a:r>
          <a:r>
            <a:rPr lang="en-US" sz="2000" b="1" i="1" cap="none" spc="0" baseline="0">
              <a:ln w="12700">
                <a:solidFill>
                  <a:schemeClr val="accent5"/>
                </a:solidFill>
                <a:prstDash val="solid"/>
              </a:ln>
              <a:solidFill>
                <a:sysClr val="windowText" lastClr="000000"/>
              </a:solidFill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 Information by Bike Modal</a:t>
          </a:r>
          <a:endParaRPr lang="en-US" sz="2000" b="1" i="1" cap="none" spc="0">
            <a:ln w="12700">
              <a:solidFill>
                <a:schemeClr val="accent5"/>
              </a:solidFill>
              <a:prstDash val="solid"/>
            </a:ln>
            <a:solidFill>
              <a:sysClr val="windowText" lastClr="000000"/>
            </a:solidFill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1257300</xdr:colOff>
      <xdr:row>4</xdr:row>
      <xdr:rowOff>361950</xdr:rowOff>
    </xdr:to>
    <xdr:sp macro="" textlink="">
      <xdr:nvSpPr>
        <xdr:cNvPr id="6" name="Rounded Rectangle 5">
          <a:hlinkClick xmlns:r="http://schemas.openxmlformats.org/officeDocument/2006/relationships" r:id="rId2"/>
        </xdr:cNvPr>
        <xdr:cNvSpPr/>
      </xdr:nvSpPr>
      <xdr:spPr>
        <a:xfrm>
          <a:off x="609600" y="781050"/>
          <a:ext cx="1257300" cy="36195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Previous</a:t>
          </a:r>
        </a:p>
      </xdr:txBody>
    </xdr:sp>
    <xdr:clientData/>
  </xdr:twoCellAnchor>
  <xdr:twoCellAnchor>
    <xdr:from>
      <xdr:col>0</xdr:col>
      <xdr:colOff>600074</xdr:colOff>
      <xdr:row>6</xdr:row>
      <xdr:rowOff>9525</xdr:rowOff>
    </xdr:from>
    <xdr:to>
      <xdr:col>1</xdr:col>
      <xdr:colOff>1257300</xdr:colOff>
      <xdr:row>7</xdr:row>
      <xdr:rowOff>9525</xdr:rowOff>
    </xdr:to>
    <xdr:sp macro="" textlink="">
      <xdr:nvSpPr>
        <xdr:cNvPr id="7" name="Rounded Rectangle 6">
          <a:hlinkClick xmlns:r="http://schemas.openxmlformats.org/officeDocument/2006/relationships" r:id="rId3"/>
        </xdr:cNvPr>
        <xdr:cNvSpPr/>
      </xdr:nvSpPr>
      <xdr:spPr>
        <a:xfrm>
          <a:off x="600074" y="1438275"/>
          <a:ext cx="1266826" cy="36195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Next(</a:t>
          </a:r>
          <a:r>
            <a:rPr lang="en-US" sz="1100" b="0">
              <a:solidFill>
                <a:srgbClr val="FF0000"/>
              </a:solidFill>
              <a:latin typeface="+mj-lt"/>
              <a:cs typeface="Times New Roman" panose="02020603050405020304" pitchFamily="18" charset="0"/>
            </a:rPr>
            <a:t>Cover-page</a:t>
          </a:r>
          <a:r>
            <a:rPr lang="en-US" sz="11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228600</xdr:rowOff>
        </xdr:from>
        <xdr:to>
          <xdr:col>6</xdr:col>
          <xdr:colOff>9525</xdr:colOff>
          <xdr:row>7</xdr:row>
          <xdr:rowOff>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2352675</xdr:colOff>
          <xdr:row>8</xdr:row>
          <xdr:rowOff>180975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20" name="CommandButton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4566.984183333334" createdVersion="6" refreshedVersion="6" minRefreshableVersion="3" recordCount="5">
  <cacheSource type="worksheet">
    <worksheetSource ref="E13:M18" sheet="Purchase Information"/>
  </cacheSource>
  <cacheFields count="9">
    <cacheField name="Purchase ID" numFmtId="0">
      <sharedItems containsSemiMixedTypes="0" containsString="0" containsNumber="1" containsInteger="1" minValue="301" maxValue="305" count="5">
        <n v="301"/>
        <n v="302"/>
        <n v="303"/>
        <n v="304"/>
        <n v="305"/>
      </sharedItems>
    </cacheField>
    <cacheField name="Purchase Date" numFmtId="166">
      <sharedItems containsSemiMixedTypes="0" containsNonDate="0" containsDate="1" containsString="0" minDate="2021-01-04T00:00:00" maxDate="2021-01-12T00:00:00" count="5">
        <d v="2021-01-04T00:00:00"/>
        <d v="2021-01-05T00:00:00"/>
        <d v="2021-01-06T00:00:00"/>
        <d v="2021-01-07T00:00:00"/>
        <d v="2021-01-11T00:00:00"/>
      </sharedItems>
    </cacheField>
    <cacheField name="Bike ID" numFmtId="0">
      <sharedItems containsSemiMixedTypes="0" containsString="0" containsNumber="1" containsInteger="1" minValue="101" maxValue="105" count="5">
        <n v="101"/>
        <n v="102"/>
        <n v="103"/>
        <n v="104"/>
        <n v="105"/>
      </sharedItems>
    </cacheField>
    <cacheField name="Bike Modal" numFmtId="0">
      <sharedItems containsSemiMixedTypes="0" containsString="0" containsNumber="1" containsInteger="1" minValue="2001" maxValue="2007" count="5">
        <n v="2001"/>
        <n v="2003"/>
        <n v="2004"/>
        <n v="2006"/>
        <n v="2007"/>
      </sharedItems>
    </cacheField>
    <cacheField name="Bike Color" numFmtId="0">
      <sharedItems count="3">
        <s v="RED"/>
        <s v="GRAY"/>
        <s v="BLACK"/>
      </sharedItems>
    </cacheField>
    <cacheField name="Bike Company" numFmtId="0">
      <sharedItems count="5">
        <s v="HONDA"/>
        <s v="KAWASAKI"/>
        <s v="UNITED"/>
        <s v="SUZUKI"/>
        <s v="SOHRAB"/>
      </sharedItems>
    </cacheField>
    <cacheField name="Purchase Price" numFmtId="167">
      <sharedItems containsSemiMixedTypes="0" containsString="0" containsNumber="1" containsInteger="1" minValue="45000" maxValue="75000" count="5">
        <n v="55000"/>
        <n v="75000"/>
        <n v="45000"/>
        <n v="65000"/>
        <n v="48000"/>
      </sharedItems>
    </cacheField>
    <cacheField name="QTY" numFmtId="0">
      <sharedItems containsSemiMixedTypes="0" containsString="0" containsNumber="1" containsInteger="1" minValue="11" maxValue="35" count="5">
        <n v="31"/>
        <n v="11"/>
        <n v="35"/>
        <n v="19"/>
        <n v="23"/>
      </sharedItems>
    </cacheField>
    <cacheField name="Total Amount" numFmtId="168">
      <sharedItems containsSemiMixedTypes="0" containsString="0" containsNumber="1" containsInteger="1" minValue="825000" maxValue="1705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hor" refreshedDate="44566.996962500001" createdVersion="6" refreshedVersion="6" minRefreshableVersion="3" recordCount="5">
  <cacheSource type="worksheet">
    <worksheetSource ref="E12:M17" sheet="Sale Information"/>
  </cacheSource>
  <cacheFields count="9">
    <cacheField name="Sale ID" numFmtId="0">
      <sharedItems containsSemiMixedTypes="0" containsString="0" containsNumber="1" containsInteger="1" minValue="501" maxValue="505" count="5">
        <n v="501"/>
        <n v="502"/>
        <n v="503"/>
        <n v="504"/>
        <n v="505"/>
      </sharedItems>
    </cacheField>
    <cacheField name="Sale Date" numFmtId="166">
      <sharedItems containsSemiMixedTypes="0" containsNonDate="0" containsDate="1" containsString="0" minDate="2021-02-01T00:00:00" maxDate="2021-02-14T00:00:00" count="5">
        <d v="2021-02-01T00:00:00"/>
        <d v="2021-02-02T00:00:00"/>
        <d v="2021-02-03T00:00:00"/>
        <d v="2021-02-04T00:00:00"/>
        <d v="2021-02-13T00:00:00"/>
      </sharedItems>
    </cacheField>
    <cacheField name="Bike ID" numFmtId="0">
      <sharedItems containsSemiMixedTypes="0" containsString="0" containsNumber="1" containsInteger="1" minValue="101" maxValue="105" count="5">
        <n v="101"/>
        <n v="102"/>
        <n v="103"/>
        <n v="104"/>
        <n v="105"/>
      </sharedItems>
    </cacheField>
    <cacheField name="Bike Modal" numFmtId="0">
      <sharedItems containsSemiMixedTypes="0" containsString="0" containsNumber="1" containsInteger="1" minValue="2001" maxValue="2007" count="5">
        <n v="2001"/>
        <n v="2003"/>
        <n v="2004"/>
        <n v="2006"/>
        <n v="2007"/>
      </sharedItems>
    </cacheField>
    <cacheField name="Bike Color" numFmtId="0">
      <sharedItems count="3">
        <s v="RED"/>
        <s v="GRAY"/>
        <s v="BLACK"/>
      </sharedItems>
    </cacheField>
    <cacheField name="Bike Company" numFmtId="0">
      <sharedItems count="5">
        <s v="HONDA"/>
        <s v="KAWASAKI"/>
        <s v="UNITED"/>
        <s v="SUZUKI"/>
        <s v="SOHRAB"/>
      </sharedItems>
    </cacheField>
    <cacheField name="Sale Price" numFmtId="169">
      <sharedItems containsSemiMixedTypes="0" containsString="0" containsNumber="1" containsInteger="1" minValue="49500" maxValue="78750" count="5">
        <n v="61050"/>
        <n v="78750"/>
        <n v="49500"/>
        <n v="70200"/>
        <n v="50880"/>
      </sharedItems>
    </cacheField>
    <cacheField name="QTY" numFmtId="0">
      <sharedItems containsSemiMixedTypes="0" containsString="0" containsNumber="1" containsInteger="1" minValue="3" maxValue="22" count="5">
        <n v="12"/>
        <n v="3"/>
        <n v="22"/>
        <n v="9"/>
        <n v="14"/>
      </sharedItems>
    </cacheField>
    <cacheField name="Total Amount" numFmtId="165">
      <sharedItems containsSemiMixedTypes="0" containsString="0" containsNumber="1" containsInteger="1" minValue="236250" maxValue="1089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uthor" refreshedDate="44567.032990162035" createdVersion="6" refreshedVersion="6" minRefreshableVersion="3" recordCount="5">
  <cacheSource type="worksheet">
    <worksheetSource ref="E13:K18" sheet="Stock Information"/>
  </cacheSource>
  <cacheFields count="7">
    <cacheField name="Bike ID" numFmtId="0">
      <sharedItems containsSemiMixedTypes="0" containsString="0" containsNumber="1" containsInteger="1" minValue="101" maxValue="105" count="5">
        <n v="101"/>
        <n v="102"/>
        <n v="103"/>
        <n v="104"/>
        <n v="105"/>
      </sharedItems>
    </cacheField>
    <cacheField name="Bike Modal" numFmtId="0">
      <sharedItems containsSemiMixedTypes="0" containsString="0" containsNumber="1" containsInteger="1" minValue="2001" maxValue="2007" count="5">
        <n v="2001"/>
        <n v="2003"/>
        <n v="2004"/>
        <n v="2006"/>
        <n v="2007"/>
      </sharedItems>
    </cacheField>
    <cacheField name="Bike Color" numFmtId="0">
      <sharedItems count="3">
        <s v="RED"/>
        <s v="GRAY"/>
        <s v="BLACK"/>
      </sharedItems>
    </cacheField>
    <cacheField name="Bike Company" numFmtId="0">
      <sharedItems count="5">
        <s v="HONDA"/>
        <s v="KAWASAKI"/>
        <s v="UNITED"/>
        <s v="SUZUKI"/>
        <s v="SOHRAB"/>
      </sharedItems>
    </cacheField>
    <cacheField name="Total Purchase QTY" numFmtId="0">
      <sharedItems containsSemiMixedTypes="0" containsString="0" containsNumber="1" containsInteger="1" minValue="11" maxValue="35" count="5">
        <n v="31"/>
        <n v="11"/>
        <n v="35"/>
        <n v="19"/>
        <n v="23"/>
      </sharedItems>
    </cacheField>
    <cacheField name="Total Sale QTY" numFmtId="0">
      <sharedItems containsSemiMixedTypes="0" containsString="0" containsNumber="1" containsInteger="1" minValue="3" maxValue="22" count="5">
        <n v="12"/>
        <n v="3"/>
        <n v="22"/>
        <n v="9"/>
        <n v="14"/>
      </sharedItems>
    </cacheField>
    <cacheField name="Available QTY" numFmtId="0">
      <sharedItems containsSemiMixedTypes="0" containsString="0" containsNumber="1" containsInteger="1" minValue="8" maxValue="19" count="5">
        <n v="19"/>
        <n v="8"/>
        <n v="13"/>
        <n v="10"/>
        <n v="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">
  <r>
    <x v="0"/>
    <x v="0"/>
    <x v="0"/>
    <x v="0"/>
    <x v="0"/>
    <x v="0"/>
    <x v="0"/>
    <x v="0"/>
    <n v="1705000"/>
  </r>
  <r>
    <x v="1"/>
    <x v="1"/>
    <x v="1"/>
    <x v="1"/>
    <x v="1"/>
    <x v="1"/>
    <x v="1"/>
    <x v="1"/>
    <n v="825000"/>
  </r>
  <r>
    <x v="2"/>
    <x v="2"/>
    <x v="2"/>
    <x v="2"/>
    <x v="0"/>
    <x v="2"/>
    <x v="2"/>
    <x v="2"/>
    <n v="1575000"/>
  </r>
  <r>
    <x v="3"/>
    <x v="3"/>
    <x v="3"/>
    <x v="3"/>
    <x v="2"/>
    <x v="3"/>
    <x v="3"/>
    <x v="3"/>
    <n v="1235000"/>
  </r>
  <r>
    <x v="4"/>
    <x v="4"/>
    <x v="4"/>
    <x v="4"/>
    <x v="1"/>
    <x v="4"/>
    <x v="4"/>
    <x v="4"/>
    <n v="11040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">
  <r>
    <x v="0"/>
    <x v="0"/>
    <x v="0"/>
    <x v="0"/>
    <x v="0"/>
    <x v="0"/>
    <x v="0"/>
    <x v="0"/>
    <n v="732600"/>
  </r>
  <r>
    <x v="1"/>
    <x v="1"/>
    <x v="1"/>
    <x v="1"/>
    <x v="1"/>
    <x v="1"/>
    <x v="1"/>
    <x v="1"/>
    <n v="236250"/>
  </r>
  <r>
    <x v="2"/>
    <x v="2"/>
    <x v="2"/>
    <x v="2"/>
    <x v="0"/>
    <x v="2"/>
    <x v="2"/>
    <x v="2"/>
    <n v="1089000"/>
  </r>
  <r>
    <x v="3"/>
    <x v="3"/>
    <x v="3"/>
    <x v="3"/>
    <x v="2"/>
    <x v="3"/>
    <x v="3"/>
    <x v="3"/>
    <n v="631800"/>
  </r>
  <r>
    <x v="4"/>
    <x v="4"/>
    <x v="4"/>
    <x v="4"/>
    <x v="1"/>
    <x v="4"/>
    <x v="4"/>
    <x v="4"/>
    <n v="71232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">
  <r>
    <x v="0"/>
    <x v="0"/>
    <x v="0"/>
    <x v="0"/>
    <x v="0"/>
    <x v="0"/>
    <x v="0"/>
  </r>
  <r>
    <x v="1"/>
    <x v="1"/>
    <x v="1"/>
    <x v="1"/>
    <x v="1"/>
    <x v="1"/>
    <x v="1"/>
  </r>
  <r>
    <x v="2"/>
    <x v="2"/>
    <x v="0"/>
    <x v="2"/>
    <x v="2"/>
    <x v="2"/>
    <x v="2"/>
  </r>
  <r>
    <x v="3"/>
    <x v="3"/>
    <x v="2"/>
    <x v="3"/>
    <x v="3"/>
    <x v="3"/>
    <x v="3"/>
  </r>
  <r>
    <x v="4"/>
    <x v="4"/>
    <x v="1"/>
    <x v="4"/>
    <x v="4"/>
    <x v="4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6" minRefreshableVersion="3" showDrill="0" useAutoFormatting="1" itemPrintTitles="1" createdVersion="6" indent="0" compact="0" compactData="0" multipleFieldFilters="0">
  <location ref="B14:I20" firstHeaderRow="0" firstDataRow="1" firstDataCol="6" rowPageCount="1" colPageCount="1"/>
  <pivotFields count="9">
    <pivotField axis="axisRow" compact="0" outline="0" showAll="0" defaultSubtotal="0">
      <items count="5">
        <item x="0"/>
        <item x="1"/>
        <item x="2"/>
        <item x="3"/>
        <item x="4"/>
      </items>
    </pivotField>
    <pivotField axis="axisPage" compact="0" numFmtId="166" outline="0" multipleItemSelectionAllowed="1" showAll="0" defaultSubtotal="0">
      <items count="5">
        <item x="0"/>
        <item x="1"/>
        <item x="2"/>
        <item x="3"/>
        <item x="4"/>
      </items>
    </pivotField>
    <pivotField axis="axisRow" compact="0" outline="0" showAll="0" defaultSubtotal="0">
      <items count="5">
        <item x="0"/>
        <item x="1"/>
        <item x="2"/>
        <item x="3"/>
        <item x="4"/>
      </items>
    </pivotField>
    <pivotField axis="axisRow" compact="0" outline="0" showAll="0" defaultSubtotal="0">
      <items count="5">
        <item x="0"/>
        <item x="1"/>
        <item x="2"/>
        <item x="3"/>
        <item x="4"/>
      </items>
    </pivotField>
    <pivotField axis="axisRow" compact="0" outline="0" showAll="0" defaultSubtotal="0">
      <items count="3">
        <item x="2"/>
        <item x="1"/>
        <item x="0"/>
      </items>
    </pivotField>
    <pivotField axis="axisRow" compact="0" outline="0" showAll="0" defaultSubtotal="0">
      <items count="5">
        <item x="0"/>
        <item x="1"/>
        <item x="4"/>
        <item x="3"/>
        <item x="2"/>
      </items>
    </pivotField>
    <pivotField axis="axisRow" compact="0" numFmtId="167" outline="0" showAll="0" defaultSubtotal="0">
      <items count="5">
        <item x="2"/>
        <item x="4"/>
        <item x="0"/>
        <item x="3"/>
        <item x="1"/>
      </items>
    </pivotField>
    <pivotField dataField="1" compact="0" outline="0" showAll="0" defaultSubtotal="0">
      <items count="5">
        <item x="1"/>
        <item x="3"/>
        <item x="4"/>
        <item x="0"/>
        <item x="2"/>
      </items>
    </pivotField>
    <pivotField dataField="1" compact="0" numFmtId="168" outline="0" showAll="0" defaultSubtotal="0"/>
  </pivotFields>
  <rowFields count="6">
    <field x="0"/>
    <field x="2"/>
    <field x="3"/>
    <field x="4"/>
    <field x="5"/>
    <field x="6"/>
  </rowFields>
  <rowItems count="6">
    <i>
      <x/>
      <x/>
      <x/>
      <x v="2"/>
      <x/>
      <x v="2"/>
    </i>
    <i>
      <x v="1"/>
      <x v="1"/>
      <x v="1"/>
      <x v="1"/>
      <x v="1"/>
      <x v="4"/>
    </i>
    <i>
      <x v="2"/>
      <x v="2"/>
      <x v="2"/>
      <x v="2"/>
      <x v="4"/>
      <x/>
    </i>
    <i>
      <x v="3"/>
      <x v="3"/>
      <x v="3"/>
      <x/>
      <x v="3"/>
      <x v="3"/>
    </i>
    <i>
      <x v="4"/>
      <x v="4"/>
      <x v="4"/>
      <x v="1"/>
      <x v="2"/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Sum of QTY" fld="7" baseField="0" baseItem="0"/>
    <dataField name="Sum of Total Amount" fld="8" baseField="7" baseItem="3" numFmtId="170"/>
  </dataFields>
  <formats count="110">
    <format dxfId="417">
      <pivotArea type="all" dataOnly="0" outline="0" fieldPosition="0"/>
    </format>
    <format dxfId="416">
      <pivotArea outline="0" collapsedLevelsAreSubtotals="1" fieldPosition="0"/>
    </format>
    <format dxfId="415">
      <pivotArea field="0" type="button" dataOnly="0" labelOnly="1" outline="0" axis="axisRow" fieldPosition="0"/>
    </format>
    <format dxfId="414">
      <pivotArea field="2" type="button" dataOnly="0" labelOnly="1" outline="0" axis="axisRow" fieldPosition="1"/>
    </format>
    <format dxfId="413">
      <pivotArea field="3" type="button" dataOnly="0" labelOnly="1" outline="0" axis="axisRow" fieldPosition="2"/>
    </format>
    <format dxfId="412">
      <pivotArea field="4" type="button" dataOnly="0" labelOnly="1" outline="0" axis="axisRow" fieldPosition="3"/>
    </format>
    <format dxfId="411">
      <pivotArea field="5" type="button" dataOnly="0" labelOnly="1" outline="0" axis="axisRow" fieldPosition="4"/>
    </format>
    <format dxfId="410">
      <pivotArea field="7" type="button" dataOnly="0" labelOnly="1" outline="0"/>
    </format>
    <format dxfId="409">
      <pivotArea dataOnly="0" labelOnly="1" outline="0" fieldPosition="0">
        <references count="1">
          <reference field="0" count="0"/>
        </references>
      </pivotArea>
    </format>
    <format dxfId="408">
      <pivotArea dataOnly="0" labelOnly="1" grandRow="1" outline="0" fieldPosition="0"/>
    </format>
    <format dxfId="407">
      <pivotArea dataOnly="0" labelOnly="1" outline="0" fieldPosition="0">
        <references count="2">
          <reference field="0" count="1" selected="0">
            <x v="0"/>
          </reference>
          <reference field="2" count="1">
            <x v="0"/>
          </reference>
        </references>
      </pivotArea>
    </format>
    <format dxfId="406">
      <pivotArea dataOnly="0" labelOnly="1" outline="0" fieldPosition="0">
        <references count="2">
          <reference field="0" count="1" selected="0">
            <x v="1"/>
          </reference>
          <reference field="2" count="1">
            <x v="1"/>
          </reference>
        </references>
      </pivotArea>
    </format>
    <format dxfId="405">
      <pivotArea dataOnly="0" labelOnly="1" outline="0" fieldPosition="0">
        <references count="2">
          <reference field="0" count="1" selected="0">
            <x v="2"/>
          </reference>
          <reference field="2" count="1">
            <x v="2"/>
          </reference>
        </references>
      </pivotArea>
    </format>
    <format dxfId="404">
      <pivotArea dataOnly="0" labelOnly="1" outline="0" fieldPosition="0">
        <references count="2">
          <reference field="0" count="1" selected="0">
            <x v="3"/>
          </reference>
          <reference field="2" count="1">
            <x v="3"/>
          </reference>
        </references>
      </pivotArea>
    </format>
    <format dxfId="403">
      <pivotArea dataOnly="0" labelOnly="1" outline="0" fieldPosition="0">
        <references count="2">
          <reference field="0" count="1" selected="0">
            <x v="4"/>
          </reference>
          <reference field="2" count="1">
            <x v="4"/>
          </reference>
        </references>
      </pivotArea>
    </format>
    <format dxfId="402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401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400">
      <pivotArea dataOnly="0" labelOnly="1" outline="0" fieldPosition="0">
        <references count="3">
          <reference field="0" count="1" selected="0">
            <x v="2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399">
      <pivotArea dataOnly="0" labelOnly="1" outline="0" fieldPosition="0">
        <references count="3">
          <reference field="0" count="1" selected="0">
            <x v="3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398">
      <pivotArea dataOnly="0" labelOnly="1" outline="0" fieldPosition="0">
        <references count="3">
          <reference field="0" count="1" selected="0">
            <x v="4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397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>
            <x v="2"/>
          </reference>
        </references>
      </pivotArea>
    </format>
    <format dxfId="396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1">
            <x v="1"/>
          </reference>
        </references>
      </pivotArea>
    </format>
    <format dxfId="395">
      <pivotArea dataOnly="0" labelOnly="1" outline="0" fieldPosition="0">
        <references count="4">
          <reference field="0" count="1" selected="0">
            <x v="2"/>
          </reference>
          <reference field="2" count="1" selected="0">
            <x v="2"/>
          </reference>
          <reference field="3" count="1" selected="0">
            <x v="2"/>
          </reference>
          <reference field="4" count="1">
            <x v="2"/>
          </reference>
        </references>
      </pivotArea>
    </format>
    <format dxfId="394">
      <pivotArea dataOnly="0" labelOnly="1" outline="0" fieldPosition="0">
        <references count="4">
          <reference field="0" count="1" selected="0">
            <x v="3"/>
          </reference>
          <reference field="2" count="1" selected="0">
            <x v="3"/>
          </reference>
          <reference field="3" count="1" selected="0">
            <x v="3"/>
          </reference>
          <reference field="4" count="1">
            <x v="0"/>
          </reference>
        </references>
      </pivotArea>
    </format>
    <format dxfId="393">
      <pivotArea dataOnly="0" labelOnly="1" outline="0" fieldPosition="0">
        <references count="4">
          <reference field="0" count="1" selected="0">
            <x v="4"/>
          </reference>
          <reference field="2" count="1" selected="0">
            <x v="4"/>
          </reference>
          <reference field="3" count="1" selected="0">
            <x v="4"/>
          </reference>
          <reference field="4" count="1">
            <x v="1"/>
          </reference>
        </references>
      </pivotArea>
    </format>
    <format dxfId="392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2"/>
          </reference>
          <reference field="5" count="1">
            <x v="0"/>
          </reference>
        </references>
      </pivotArea>
    </format>
    <format dxfId="391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>
            <x v="1"/>
          </reference>
        </references>
      </pivotArea>
    </format>
    <format dxfId="390">
      <pivotArea dataOnly="0" labelOnly="1" outline="0" fieldPosition="0">
        <references count="5">
          <reference field="0" count="1" selected="0">
            <x v="2"/>
          </reference>
          <reference field="2" count="1" selected="0">
            <x v="2"/>
          </reference>
          <reference field="3" count="1" selected="0">
            <x v="2"/>
          </reference>
          <reference field="4" count="1" selected="0">
            <x v="2"/>
          </reference>
          <reference field="5" count="1">
            <x v="4"/>
          </reference>
        </references>
      </pivotArea>
    </format>
    <format dxfId="389">
      <pivotArea dataOnly="0" labelOnly="1" outline="0" fieldPosition="0">
        <references count="5">
          <reference field="0" count="1" selected="0">
            <x v="3"/>
          </reference>
          <reference field="2" count="1" selected="0">
            <x v="3"/>
          </reference>
          <reference field="3" count="1" selected="0">
            <x v="3"/>
          </reference>
          <reference field="4" count="1" selected="0">
            <x v="0"/>
          </reference>
          <reference field="5" count="1">
            <x v="3"/>
          </reference>
        </references>
      </pivotArea>
    </format>
    <format dxfId="388">
      <pivotArea dataOnly="0" labelOnly="1" outline="0" fieldPosition="0">
        <references count="5">
          <reference field="0" count="1" selected="0">
            <x v="4"/>
          </reference>
          <reference field="2" count="1" selected="0">
            <x v="4"/>
          </reference>
          <reference field="3" count="1" selected="0">
            <x v="4"/>
          </reference>
          <reference field="4" count="1" selected="0">
            <x v="1"/>
          </reference>
          <reference field="5" count="1">
            <x v="2"/>
          </reference>
        </references>
      </pivotArea>
    </format>
    <format dxfId="38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86">
      <pivotArea type="all" dataOnly="0" outline="0" fieldPosition="0"/>
    </format>
    <format dxfId="385">
      <pivotArea outline="0" collapsedLevelsAreSubtotals="1" fieldPosition="0"/>
    </format>
    <format dxfId="384">
      <pivotArea field="0" type="button" dataOnly="0" labelOnly="1" outline="0" axis="axisRow" fieldPosition="0"/>
    </format>
    <format dxfId="383">
      <pivotArea field="2" type="button" dataOnly="0" labelOnly="1" outline="0" axis="axisRow" fieldPosition="1"/>
    </format>
    <format dxfId="382">
      <pivotArea field="3" type="button" dataOnly="0" labelOnly="1" outline="0" axis="axisRow" fieldPosition="2"/>
    </format>
    <format dxfId="381">
      <pivotArea field="4" type="button" dataOnly="0" labelOnly="1" outline="0" axis="axisRow" fieldPosition="3"/>
    </format>
    <format dxfId="380">
      <pivotArea field="5" type="button" dataOnly="0" labelOnly="1" outline="0" axis="axisRow" fieldPosition="4"/>
    </format>
    <format dxfId="379">
      <pivotArea field="7" type="button" dataOnly="0" labelOnly="1" outline="0"/>
    </format>
    <format dxfId="378">
      <pivotArea dataOnly="0" labelOnly="1" outline="0" fieldPosition="0">
        <references count="1">
          <reference field="0" count="0"/>
        </references>
      </pivotArea>
    </format>
    <format dxfId="377">
      <pivotArea dataOnly="0" labelOnly="1" grandRow="1" outline="0" fieldPosition="0"/>
    </format>
    <format dxfId="376">
      <pivotArea dataOnly="0" labelOnly="1" outline="0" fieldPosition="0">
        <references count="2">
          <reference field="0" count="1" selected="0">
            <x v="0"/>
          </reference>
          <reference field="2" count="1">
            <x v="0"/>
          </reference>
        </references>
      </pivotArea>
    </format>
    <format dxfId="375">
      <pivotArea dataOnly="0" labelOnly="1" outline="0" fieldPosition="0">
        <references count="2">
          <reference field="0" count="1" selected="0">
            <x v="1"/>
          </reference>
          <reference field="2" count="1">
            <x v="1"/>
          </reference>
        </references>
      </pivotArea>
    </format>
    <format dxfId="374">
      <pivotArea dataOnly="0" labelOnly="1" outline="0" fieldPosition="0">
        <references count="2">
          <reference field="0" count="1" selected="0">
            <x v="2"/>
          </reference>
          <reference field="2" count="1">
            <x v="2"/>
          </reference>
        </references>
      </pivotArea>
    </format>
    <format dxfId="373">
      <pivotArea dataOnly="0" labelOnly="1" outline="0" fieldPosition="0">
        <references count="2">
          <reference field="0" count="1" selected="0">
            <x v="3"/>
          </reference>
          <reference field="2" count="1">
            <x v="3"/>
          </reference>
        </references>
      </pivotArea>
    </format>
    <format dxfId="372">
      <pivotArea dataOnly="0" labelOnly="1" outline="0" fieldPosition="0">
        <references count="2">
          <reference field="0" count="1" selected="0">
            <x v="4"/>
          </reference>
          <reference field="2" count="1">
            <x v="4"/>
          </reference>
        </references>
      </pivotArea>
    </format>
    <format dxfId="371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370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369">
      <pivotArea dataOnly="0" labelOnly="1" outline="0" fieldPosition="0">
        <references count="3">
          <reference field="0" count="1" selected="0">
            <x v="2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368">
      <pivotArea dataOnly="0" labelOnly="1" outline="0" fieldPosition="0">
        <references count="3">
          <reference field="0" count="1" selected="0">
            <x v="3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367">
      <pivotArea dataOnly="0" labelOnly="1" outline="0" fieldPosition="0">
        <references count="3">
          <reference field="0" count="1" selected="0">
            <x v="4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366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>
            <x v="2"/>
          </reference>
        </references>
      </pivotArea>
    </format>
    <format dxfId="365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1">
            <x v="1"/>
          </reference>
        </references>
      </pivotArea>
    </format>
    <format dxfId="364">
      <pivotArea dataOnly="0" labelOnly="1" outline="0" fieldPosition="0">
        <references count="4">
          <reference field="0" count="1" selected="0">
            <x v="2"/>
          </reference>
          <reference field="2" count="1" selected="0">
            <x v="2"/>
          </reference>
          <reference field="3" count="1" selected="0">
            <x v="2"/>
          </reference>
          <reference field="4" count="1">
            <x v="2"/>
          </reference>
        </references>
      </pivotArea>
    </format>
    <format dxfId="363">
      <pivotArea dataOnly="0" labelOnly="1" outline="0" fieldPosition="0">
        <references count="4">
          <reference field="0" count="1" selected="0">
            <x v="3"/>
          </reference>
          <reference field="2" count="1" selected="0">
            <x v="3"/>
          </reference>
          <reference field="3" count="1" selected="0">
            <x v="3"/>
          </reference>
          <reference field="4" count="1">
            <x v="0"/>
          </reference>
        </references>
      </pivotArea>
    </format>
    <format dxfId="362">
      <pivotArea dataOnly="0" labelOnly="1" outline="0" fieldPosition="0">
        <references count="4">
          <reference field="0" count="1" selected="0">
            <x v="4"/>
          </reference>
          <reference field="2" count="1" selected="0">
            <x v="4"/>
          </reference>
          <reference field="3" count="1" selected="0">
            <x v="4"/>
          </reference>
          <reference field="4" count="1">
            <x v="1"/>
          </reference>
        </references>
      </pivotArea>
    </format>
    <format dxfId="361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2"/>
          </reference>
          <reference field="5" count="1">
            <x v="0"/>
          </reference>
        </references>
      </pivotArea>
    </format>
    <format dxfId="360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>
            <x v="1"/>
          </reference>
        </references>
      </pivotArea>
    </format>
    <format dxfId="359">
      <pivotArea dataOnly="0" labelOnly="1" outline="0" fieldPosition="0">
        <references count="5">
          <reference field="0" count="1" selected="0">
            <x v="2"/>
          </reference>
          <reference field="2" count="1" selected="0">
            <x v="2"/>
          </reference>
          <reference field="3" count="1" selected="0">
            <x v="2"/>
          </reference>
          <reference field="4" count="1" selected="0">
            <x v="2"/>
          </reference>
          <reference field="5" count="1">
            <x v="4"/>
          </reference>
        </references>
      </pivotArea>
    </format>
    <format dxfId="358">
      <pivotArea dataOnly="0" labelOnly="1" outline="0" fieldPosition="0">
        <references count="5">
          <reference field="0" count="1" selected="0">
            <x v="3"/>
          </reference>
          <reference field="2" count="1" selected="0">
            <x v="3"/>
          </reference>
          <reference field="3" count="1" selected="0">
            <x v="3"/>
          </reference>
          <reference field="4" count="1" selected="0">
            <x v="0"/>
          </reference>
          <reference field="5" count="1">
            <x v="3"/>
          </reference>
        </references>
      </pivotArea>
    </format>
    <format dxfId="357">
      <pivotArea dataOnly="0" labelOnly="1" outline="0" fieldPosition="0">
        <references count="5">
          <reference field="0" count="1" selected="0">
            <x v="4"/>
          </reference>
          <reference field="2" count="1" selected="0">
            <x v="4"/>
          </reference>
          <reference field="3" count="1" selected="0">
            <x v="4"/>
          </reference>
          <reference field="4" count="1" selected="0">
            <x v="1"/>
          </reference>
          <reference field="5" count="1">
            <x v="2"/>
          </reference>
        </references>
      </pivotArea>
    </format>
    <format dxfId="35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55">
      <pivotArea field="0" type="button" dataOnly="0" labelOnly="1" outline="0" axis="axisRow" fieldPosition="0"/>
    </format>
    <format dxfId="354">
      <pivotArea field="2" type="button" dataOnly="0" labelOnly="1" outline="0" axis="axisRow" fieldPosition="1"/>
    </format>
    <format dxfId="353">
      <pivotArea field="3" type="button" dataOnly="0" labelOnly="1" outline="0" axis="axisRow" fieldPosition="2"/>
    </format>
    <format dxfId="352">
      <pivotArea field="4" type="button" dataOnly="0" labelOnly="1" outline="0" axis="axisRow" fieldPosition="3"/>
    </format>
    <format dxfId="351">
      <pivotArea field="5" type="button" dataOnly="0" labelOnly="1" outline="0" axis="axisRow" fieldPosition="4"/>
    </format>
    <format dxfId="350">
      <pivotArea field="7" type="button" dataOnly="0" labelOnly="1" outline="0"/>
    </format>
    <format dxfId="34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48">
      <pivotArea dataOnly="0" labelOnly="1" grandRow="1" outline="0" fieldPosition="0"/>
    </format>
    <format dxfId="347">
      <pivotArea field="6" type="button" dataOnly="0" labelOnly="1" outline="0" axis="axisRow" fieldPosition="5"/>
    </format>
    <format dxfId="346">
      <pivotArea dataOnly="0" labelOnly="1" grandRow="1" outline="0" fieldPosition="0"/>
    </format>
    <format dxfId="345">
      <pivotArea dataOnly="0" labelOnly="1" grandRow="1" outline="0" fieldPosition="0"/>
    </format>
    <format dxfId="344">
      <pivotArea field="0" type="button" dataOnly="0" labelOnly="1" outline="0" axis="axisRow" fieldPosition="0"/>
    </format>
    <format dxfId="343">
      <pivotArea field="2" type="button" dataOnly="0" labelOnly="1" outline="0" axis="axisRow" fieldPosition="1"/>
    </format>
    <format dxfId="342">
      <pivotArea field="3" type="button" dataOnly="0" labelOnly="1" outline="0" axis="axisRow" fieldPosition="2"/>
    </format>
    <format dxfId="341">
      <pivotArea field="4" type="button" dataOnly="0" labelOnly="1" outline="0" axis="axisRow" fieldPosition="3"/>
    </format>
    <format dxfId="340">
      <pivotArea field="5" type="button" dataOnly="0" labelOnly="1" outline="0" axis="axisRow" fieldPosition="4"/>
    </format>
    <format dxfId="339">
      <pivotArea field="6" type="button" dataOnly="0" labelOnly="1" outline="0" axis="axisRow" fieldPosition="5"/>
    </format>
    <format dxfId="338">
      <pivotArea field="7" type="button" dataOnly="0" labelOnly="1" outline="0"/>
    </format>
    <format dxfId="337">
      <pivotArea dataOnly="0" labelOnly="1" outline="0" axis="axisValues" fieldPosition="0"/>
    </format>
    <format dxfId="336">
      <pivotArea dataOnly="0" labelOnly="1" outline="0" axis="axisValues" fieldPosition="0"/>
    </format>
    <format dxfId="335">
      <pivotArea dataOnly="0" labelOnly="1" outline="0" fieldPosition="0">
        <references count="1">
          <reference field="0" count="0"/>
        </references>
      </pivotArea>
    </format>
    <format dxfId="334">
      <pivotArea dataOnly="0" labelOnly="1" outline="0" fieldPosition="0">
        <references count="2">
          <reference field="0" count="1" selected="0">
            <x v="0"/>
          </reference>
          <reference field="2" count="1">
            <x v="0"/>
          </reference>
        </references>
      </pivotArea>
    </format>
    <format dxfId="333">
      <pivotArea dataOnly="0" labelOnly="1" outline="0" fieldPosition="0">
        <references count="2">
          <reference field="0" count="1" selected="0">
            <x v="1"/>
          </reference>
          <reference field="2" count="1">
            <x v="1"/>
          </reference>
        </references>
      </pivotArea>
    </format>
    <format dxfId="332">
      <pivotArea dataOnly="0" labelOnly="1" outline="0" fieldPosition="0">
        <references count="2">
          <reference field="0" count="1" selected="0">
            <x v="2"/>
          </reference>
          <reference field="2" count="1">
            <x v="2"/>
          </reference>
        </references>
      </pivotArea>
    </format>
    <format dxfId="331">
      <pivotArea dataOnly="0" labelOnly="1" outline="0" fieldPosition="0">
        <references count="2">
          <reference field="0" count="1" selected="0">
            <x v="3"/>
          </reference>
          <reference field="2" count="1">
            <x v="3"/>
          </reference>
        </references>
      </pivotArea>
    </format>
    <format dxfId="330">
      <pivotArea dataOnly="0" labelOnly="1" outline="0" fieldPosition="0">
        <references count="2">
          <reference field="0" count="1" selected="0">
            <x v="4"/>
          </reference>
          <reference field="2" count="1">
            <x v="4"/>
          </reference>
        </references>
      </pivotArea>
    </format>
    <format dxfId="329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328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327">
      <pivotArea dataOnly="0" labelOnly="1" outline="0" fieldPosition="0">
        <references count="3">
          <reference field="0" count="1" selected="0">
            <x v="2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326">
      <pivotArea dataOnly="0" labelOnly="1" outline="0" fieldPosition="0">
        <references count="3">
          <reference field="0" count="1" selected="0">
            <x v="3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325">
      <pivotArea dataOnly="0" labelOnly="1" outline="0" fieldPosition="0">
        <references count="3">
          <reference field="0" count="1" selected="0">
            <x v="4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324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>
            <x v="2"/>
          </reference>
        </references>
      </pivotArea>
    </format>
    <format dxfId="323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1">
            <x v="1"/>
          </reference>
        </references>
      </pivotArea>
    </format>
    <format dxfId="322">
      <pivotArea dataOnly="0" labelOnly="1" outline="0" fieldPosition="0">
        <references count="4">
          <reference field="0" count="1" selected="0">
            <x v="2"/>
          </reference>
          <reference field="2" count="1" selected="0">
            <x v="2"/>
          </reference>
          <reference field="3" count="1" selected="0">
            <x v="2"/>
          </reference>
          <reference field="4" count="1">
            <x v="2"/>
          </reference>
        </references>
      </pivotArea>
    </format>
    <format dxfId="321">
      <pivotArea dataOnly="0" labelOnly="1" outline="0" fieldPosition="0">
        <references count="4">
          <reference field="0" count="1" selected="0">
            <x v="3"/>
          </reference>
          <reference field="2" count="1" selected="0">
            <x v="3"/>
          </reference>
          <reference field="3" count="1" selected="0">
            <x v="3"/>
          </reference>
          <reference field="4" count="1">
            <x v="0"/>
          </reference>
        </references>
      </pivotArea>
    </format>
    <format dxfId="320">
      <pivotArea dataOnly="0" labelOnly="1" outline="0" fieldPosition="0">
        <references count="4">
          <reference field="0" count="1" selected="0">
            <x v="4"/>
          </reference>
          <reference field="2" count="1" selected="0">
            <x v="4"/>
          </reference>
          <reference field="3" count="1" selected="0">
            <x v="4"/>
          </reference>
          <reference field="4" count="1">
            <x v="1"/>
          </reference>
        </references>
      </pivotArea>
    </format>
    <format dxfId="319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2"/>
          </reference>
          <reference field="5" count="1">
            <x v="0"/>
          </reference>
        </references>
      </pivotArea>
    </format>
    <format dxfId="318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>
            <x v="1"/>
          </reference>
        </references>
      </pivotArea>
    </format>
    <format dxfId="317">
      <pivotArea dataOnly="0" labelOnly="1" outline="0" fieldPosition="0">
        <references count="5">
          <reference field="0" count="1" selected="0">
            <x v="2"/>
          </reference>
          <reference field="2" count="1" selected="0">
            <x v="2"/>
          </reference>
          <reference field="3" count="1" selected="0">
            <x v="2"/>
          </reference>
          <reference field="4" count="1" selected="0">
            <x v="2"/>
          </reference>
          <reference field="5" count="1">
            <x v="4"/>
          </reference>
        </references>
      </pivotArea>
    </format>
    <format dxfId="316">
      <pivotArea dataOnly="0" labelOnly="1" outline="0" fieldPosition="0">
        <references count="5">
          <reference field="0" count="1" selected="0">
            <x v="3"/>
          </reference>
          <reference field="2" count="1" selected="0">
            <x v="3"/>
          </reference>
          <reference field="3" count="1" selected="0">
            <x v="3"/>
          </reference>
          <reference field="4" count="1" selected="0">
            <x v="0"/>
          </reference>
          <reference field="5" count="1">
            <x v="3"/>
          </reference>
        </references>
      </pivotArea>
    </format>
    <format dxfId="315">
      <pivotArea dataOnly="0" labelOnly="1" outline="0" fieldPosition="0">
        <references count="5">
          <reference field="0" count="1" selected="0">
            <x v="4"/>
          </reference>
          <reference field="2" count="1" selected="0">
            <x v="4"/>
          </reference>
          <reference field="3" count="1" selected="0">
            <x v="4"/>
          </reference>
          <reference field="4" count="1" selected="0">
            <x v="1"/>
          </reference>
          <reference field="5" count="1">
            <x v="2"/>
          </reference>
        </references>
      </pivotArea>
    </format>
    <format dxfId="314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313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"/>
          </reference>
        </references>
      </pivotArea>
    </format>
    <format dxfId="312">
      <pivotArea dataOnly="0" labelOnly="1" outline="0" fieldPosition="0">
        <references count="6">
          <reference field="0" count="1" selected="0">
            <x v="2"/>
          </reference>
          <reference field="2" count="1" selected="0">
            <x v="2"/>
          </reference>
          <reference field="3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0"/>
          </reference>
        </references>
      </pivotArea>
    </format>
    <format dxfId="311">
      <pivotArea dataOnly="0" labelOnly="1" outline="0" fieldPosition="0">
        <references count="6">
          <reference field="0" count="1" selected="0">
            <x v="3"/>
          </reference>
          <reference field="2" count="1" selected="0">
            <x v="3"/>
          </reference>
          <reference field="3" count="1" selected="0">
            <x v="3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3"/>
          </reference>
        </references>
      </pivotArea>
    </format>
    <format dxfId="310">
      <pivotArea dataOnly="0" labelOnly="1" outline="0" fieldPosition="0">
        <references count="6">
          <reference field="0" count="1" selected="0">
            <x v="4"/>
          </reference>
          <reference field="2" count="1" selected="0">
            <x v="4"/>
          </reference>
          <reference field="3" count="1" selected="0">
            <x v="4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1"/>
          </reference>
        </references>
      </pivotArea>
    </format>
    <format dxfId="309">
      <pivotArea grandRow="1" outline="0" collapsedLevelsAreSubtotals="1" fieldPosition="0"/>
    </format>
    <format dxfId="30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6" minRefreshableVersion="3" showDrill="0" useAutoFormatting="1" itemPrintTitles="1" createdVersion="6" indent="0" compact="0" compactData="0" multipleFieldFilters="0">
  <location ref="B16:I22" firstHeaderRow="0" firstDataRow="1" firstDataCol="6" rowPageCount="1" colPageCount="1"/>
  <pivotFields count="9">
    <pivotField axis="axisRow" compact="0" outline="0" showAll="0" defaultSubtotal="0">
      <items count="5">
        <item x="0"/>
        <item x="1"/>
        <item x="2"/>
        <item x="3"/>
        <item x="4"/>
      </items>
    </pivotField>
    <pivotField axis="axisPage" compact="0" numFmtId="166" outline="0" showAll="0" defaultSubtotal="0">
      <items count="5">
        <item x="0"/>
        <item x="1"/>
        <item x="2"/>
        <item x="3"/>
        <item x="4"/>
      </items>
    </pivotField>
    <pivotField axis="axisRow" compact="0" outline="0" showAll="0" defaultSubtotal="0">
      <items count="5">
        <item x="0"/>
        <item x="1"/>
        <item x="2"/>
        <item x="3"/>
        <item x="4"/>
      </items>
    </pivotField>
    <pivotField axis="axisRow" compact="0" outline="0" showAll="0" defaultSubtotal="0">
      <items count="5">
        <item x="0"/>
        <item x="1"/>
        <item x="2"/>
        <item x="3"/>
        <item x="4"/>
      </items>
    </pivotField>
    <pivotField axis="axisRow" compact="0" outline="0" showAll="0" defaultSubtotal="0">
      <items count="3">
        <item x="2"/>
        <item x="1"/>
        <item x="0"/>
      </items>
    </pivotField>
    <pivotField axis="axisRow" compact="0" outline="0" showAll="0" defaultSubtotal="0">
      <items count="5">
        <item x="0"/>
        <item x="1"/>
        <item x="4"/>
        <item x="3"/>
        <item x="2"/>
      </items>
    </pivotField>
    <pivotField axis="axisRow" compact="0" numFmtId="169" outline="0" showAll="0" defaultSubtotal="0">
      <items count="5">
        <item x="2"/>
        <item x="4"/>
        <item x="0"/>
        <item x="3"/>
        <item x="1"/>
      </items>
    </pivotField>
    <pivotField dataField="1" compact="0" outline="0" showAll="0" defaultSubtotal="0">
      <items count="5">
        <item x="1"/>
        <item x="3"/>
        <item x="0"/>
        <item x="4"/>
        <item x="2"/>
      </items>
    </pivotField>
    <pivotField dataField="1" compact="0" numFmtId="165" outline="0" showAll="0" defaultSubtotal="0"/>
  </pivotFields>
  <rowFields count="6">
    <field x="0"/>
    <field x="2"/>
    <field x="3"/>
    <field x="4"/>
    <field x="5"/>
    <field x="6"/>
  </rowFields>
  <rowItems count="6">
    <i>
      <x/>
      <x/>
      <x/>
      <x v="2"/>
      <x/>
      <x v="2"/>
    </i>
    <i>
      <x v="1"/>
      <x v="1"/>
      <x v="1"/>
      <x v="1"/>
      <x v="1"/>
      <x v="4"/>
    </i>
    <i>
      <x v="2"/>
      <x v="2"/>
      <x v="2"/>
      <x v="2"/>
      <x v="4"/>
      <x/>
    </i>
    <i>
      <x v="3"/>
      <x v="3"/>
      <x v="3"/>
      <x/>
      <x v="3"/>
      <x v="3"/>
    </i>
    <i>
      <x v="4"/>
      <x v="4"/>
      <x v="4"/>
      <x v="1"/>
      <x v="2"/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Sum of QTY" fld="7" baseField="0" baseItem="0"/>
    <dataField name="Sum of Total Amount" fld="8" baseField="6" baseItem="0" numFmtId="171"/>
  </dataFields>
  <formats count="159">
    <format dxfId="307">
      <pivotArea field="0" type="button" dataOnly="0" labelOnly="1" outline="0" axis="axisRow" fieldPosition="0"/>
    </format>
    <format dxfId="306">
      <pivotArea field="2" type="button" dataOnly="0" labelOnly="1" outline="0" axis="axisRow" fieldPosition="1"/>
    </format>
    <format dxfId="305">
      <pivotArea field="3" type="button" dataOnly="0" labelOnly="1" outline="0" axis="axisRow" fieldPosition="2"/>
    </format>
    <format dxfId="304">
      <pivotArea field="4" type="button" dataOnly="0" labelOnly="1" outline="0" axis="axisRow" fieldPosition="3"/>
    </format>
    <format dxfId="303">
      <pivotArea field="5" type="button" dataOnly="0" labelOnly="1" outline="0" axis="axisRow" fieldPosition="4"/>
    </format>
    <format dxfId="302">
      <pivotArea field="7" type="button" dataOnly="0" labelOnly="1" outline="0"/>
    </format>
    <format dxfId="30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00">
      <pivotArea field="0" type="button" dataOnly="0" labelOnly="1" outline="0" axis="axisRow" fieldPosition="0"/>
    </format>
    <format dxfId="299">
      <pivotArea field="2" type="button" dataOnly="0" labelOnly="1" outline="0" axis="axisRow" fieldPosition="1"/>
    </format>
    <format dxfId="298">
      <pivotArea field="3" type="button" dataOnly="0" labelOnly="1" outline="0" axis="axisRow" fieldPosition="2"/>
    </format>
    <format dxfId="297">
      <pivotArea field="4" type="button" dataOnly="0" labelOnly="1" outline="0" axis="axisRow" fieldPosition="3"/>
    </format>
    <format dxfId="296">
      <pivotArea field="5" type="button" dataOnly="0" labelOnly="1" outline="0" axis="axisRow" fieldPosition="4"/>
    </format>
    <format dxfId="295">
      <pivotArea field="7" type="button" dataOnly="0" labelOnly="1" outline="0"/>
    </format>
    <format dxfId="29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93">
      <pivotArea field="0" type="button" dataOnly="0" labelOnly="1" outline="0" axis="axisRow" fieldPosition="0"/>
    </format>
    <format dxfId="292">
      <pivotArea field="2" type="button" dataOnly="0" labelOnly="1" outline="0" axis="axisRow" fieldPosition="1"/>
    </format>
    <format dxfId="291">
      <pivotArea field="3" type="button" dataOnly="0" labelOnly="1" outline="0" axis="axisRow" fieldPosition="2"/>
    </format>
    <format dxfId="290">
      <pivotArea field="4" type="button" dataOnly="0" labelOnly="1" outline="0" axis="axisRow" fieldPosition="3"/>
    </format>
    <format dxfId="289">
      <pivotArea field="5" type="button" dataOnly="0" labelOnly="1" outline="0" axis="axisRow" fieldPosition="4"/>
    </format>
    <format dxfId="288">
      <pivotArea field="7" type="button" dataOnly="0" labelOnly="1" outline="0"/>
    </format>
    <format dxfId="28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86">
      <pivotArea dataOnly="0" labelOnly="1" grandRow="1" outline="0" fieldPosition="0"/>
    </format>
    <format dxfId="285">
      <pivotArea dataOnly="0" labelOnly="1" grandRow="1" outline="0" fieldPosition="0"/>
    </format>
    <format dxfId="284">
      <pivotArea dataOnly="0" labelOnly="1" grandRow="1" outline="0" fieldPosition="0"/>
    </format>
    <format dxfId="283">
      <pivotArea dataOnly="0" labelOnly="1" grandRow="1" outline="0" fieldPosition="0"/>
    </format>
    <format dxfId="282">
      <pivotArea dataOnly="0" labelOnly="1" grandRow="1" outline="0" fieldPosition="0"/>
    </format>
    <format dxfId="281">
      <pivotArea dataOnly="0" labelOnly="1" grandRow="1" outline="0" fieldPosition="0"/>
    </format>
    <format dxfId="280">
      <pivotArea outline="0" collapsedLevelsAreSubtotals="1" fieldPosition="0"/>
    </format>
    <format dxfId="279">
      <pivotArea dataOnly="0" labelOnly="1" outline="0" fieldPosition="0">
        <references count="1">
          <reference field="0" count="0"/>
        </references>
      </pivotArea>
    </format>
    <format dxfId="278">
      <pivotArea dataOnly="0" labelOnly="1" grandRow="1" outline="0" fieldPosition="0"/>
    </format>
    <format dxfId="277">
      <pivotArea dataOnly="0" labelOnly="1" outline="0" fieldPosition="0">
        <references count="2">
          <reference field="0" count="1" selected="0">
            <x v="0"/>
          </reference>
          <reference field="2" count="1">
            <x v="0"/>
          </reference>
        </references>
      </pivotArea>
    </format>
    <format dxfId="276">
      <pivotArea dataOnly="0" labelOnly="1" outline="0" fieldPosition="0">
        <references count="2">
          <reference field="0" count="1" selected="0">
            <x v="1"/>
          </reference>
          <reference field="2" count="1">
            <x v="1"/>
          </reference>
        </references>
      </pivotArea>
    </format>
    <format dxfId="275">
      <pivotArea dataOnly="0" labelOnly="1" outline="0" fieldPosition="0">
        <references count="2">
          <reference field="0" count="1" selected="0">
            <x v="2"/>
          </reference>
          <reference field="2" count="1">
            <x v="2"/>
          </reference>
        </references>
      </pivotArea>
    </format>
    <format dxfId="274">
      <pivotArea dataOnly="0" labelOnly="1" outline="0" fieldPosition="0">
        <references count="2">
          <reference field="0" count="1" selected="0">
            <x v="3"/>
          </reference>
          <reference field="2" count="1">
            <x v="3"/>
          </reference>
        </references>
      </pivotArea>
    </format>
    <format dxfId="273">
      <pivotArea dataOnly="0" labelOnly="1" outline="0" fieldPosition="0">
        <references count="2">
          <reference field="0" count="1" selected="0">
            <x v="4"/>
          </reference>
          <reference field="2" count="1">
            <x v="4"/>
          </reference>
        </references>
      </pivotArea>
    </format>
    <format dxfId="272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271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270">
      <pivotArea dataOnly="0" labelOnly="1" outline="0" fieldPosition="0">
        <references count="3">
          <reference field="0" count="1" selected="0">
            <x v="2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69">
      <pivotArea dataOnly="0" labelOnly="1" outline="0" fieldPosition="0">
        <references count="3">
          <reference field="0" count="1" selected="0">
            <x v="3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68">
      <pivotArea dataOnly="0" labelOnly="1" outline="0" fieldPosition="0">
        <references count="3">
          <reference field="0" count="1" selected="0">
            <x v="4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67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>
            <x v="2"/>
          </reference>
        </references>
      </pivotArea>
    </format>
    <format dxfId="266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1">
            <x v="1"/>
          </reference>
        </references>
      </pivotArea>
    </format>
    <format dxfId="265">
      <pivotArea dataOnly="0" labelOnly="1" outline="0" fieldPosition="0">
        <references count="4">
          <reference field="0" count="1" selected="0">
            <x v="2"/>
          </reference>
          <reference field="2" count="1" selected="0">
            <x v="2"/>
          </reference>
          <reference field="3" count="1" selected="0">
            <x v="2"/>
          </reference>
          <reference field="4" count="1">
            <x v="2"/>
          </reference>
        </references>
      </pivotArea>
    </format>
    <format dxfId="264">
      <pivotArea dataOnly="0" labelOnly="1" outline="0" fieldPosition="0">
        <references count="4">
          <reference field="0" count="1" selected="0">
            <x v="3"/>
          </reference>
          <reference field="2" count="1" selected="0">
            <x v="3"/>
          </reference>
          <reference field="3" count="1" selected="0">
            <x v="3"/>
          </reference>
          <reference field="4" count="1">
            <x v="0"/>
          </reference>
        </references>
      </pivotArea>
    </format>
    <format dxfId="263">
      <pivotArea dataOnly="0" labelOnly="1" outline="0" fieldPosition="0">
        <references count="4">
          <reference field="0" count="1" selected="0">
            <x v="4"/>
          </reference>
          <reference field="2" count="1" selected="0">
            <x v="4"/>
          </reference>
          <reference field="3" count="1" selected="0">
            <x v="4"/>
          </reference>
          <reference field="4" count="1">
            <x v="1"/>
          </reference>
        </references>
      </pivotArea>
    </format>
    <format dxfId="262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2"/>
          </reference>
          <reference field="5" count="1">
            <x v="0"/>
          </reference>
        </references>
      </pivotArea>
    </format>
    <format dxfId="261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>
            <x v="1"/>
          </reference>
        </references>
      </pivotArea>
    </format>
    <format dxfId="260">
      <pivotArea dataOnly="0" labelOnly="1" outline="0" fieldPosition="0">
        <references count="5">
          <reference field="0" count="1" selected="0">
            <x v="2"/>
          </reference>
          <reference field="2" count="1" selected="0">
            <x v="2"/>
          </reference>
          <reference field="3" count="1" selected="0">
            <x v="2"/>
          </reference>
          <reference field="4" count="1" selected="0">
            <x v="2"/>
          </reference>
          <reference field="5" count="1">
            <x v="4"/>
          </reference>
        </references>
      </pivotArea>
    </format>
    <format dxfId="259">
      <pivotArea dataOnly="0" labelOnly="1" outline="0" fieldPosition="0">
        <references count="5">
          <reference field="0" count="1" selected="0">
            <x v="3"/>
          </reference>
          <reference field="2" count="1" selected="0">
            <x v="3"/>
          </reference>
          <reference field="3" count="1" selected="0">
            <x v="3"/>
          </reference>
          <reference field="4" count="1" selected="0">
            <x v="0"/>
          </reference>
          <reference field="5" count="1">
            <x v="3"/>
          </reference>
        </references>
      </pivotArea>
    </format>
    <format dxfId="258">
      <pivotArea dataOnly="0" labelOnly="1" outline="0" fieldPosition="0">
        <references count="5">
          <reference field="0" count="1" selected="0">
            <x v="4"/>
          </reference>
          <reference field="2" count="1" selected="0">
            <x v="4"/>
          </reference>
          <reference field="3" count="1" selected="0">
            <x v="4"/>
          </reference>
          <reference field="4" count="1" selected="0">
            <x v="1"/>
          </reference>
          <reference field="5" count="1">
            <x v="2"/>
          </reference>
        </references>
      </pivotArea>
    </format>
    <format dxfId="257">
      <pivotArea outline="0" collapsedLevelsAreSubtotals="1" fieldPosition="0"/>
    </format>
    <format dxfId="256">
      <pivotArea dataOnly="0" labelOnly="1" outline="0" fieldPosition="0">
        <references count="1">
          <reference field="0" count="0"/>
        </references>
      </pivotArea>
    </format>
    <format dxfId="255">
      <pivotArea dataOnly="0" labelOnly="1" grandRow="1" outline="0" fieldPosition="0"/>
    </format>
    <format dxfId="254">
      <pivotArea dataOnly="0" labelOnly="1" outline="0" fieldPosition="0">
        <references count="2">
          <reference field="0" count="1" selected="0">
            <x v="0"/>
          </reference>
          <reference field="2" count="1">
            <x v="0"/>
          </reference>
        </references>
      </pivotArea>
    </format>
    <format dxfId="253">
      <pivotArea dataOnly="0" labelOnly="1" outline="0" fieldPosition="0">
        <references count="2">
          <reference field="0" count="1" selected="0">
            <x v="1"/>
          </reference>
          <reference field="2" count="1">
            <x v="1"/>
          </reference>
        </references>
      </pivotArea>
    </format>
    <format dxfId="252">
      <pivotArea dataOnly="0" labelOnly="1" outline="0" fieldPosition="0">
        <references count="2">
          <reference field="0" count="1" selected="0">
            <x v="2"/>
          </reference>
          <reference field="2" count="1">
            <x v="2"/>
          </reference>
        </references>
      </pivotArea>
    </format>
    <format dxfId="251">
      <pivotArea dataOnly="0" labelOnly="1" outline="0" fieldPosition="0">
        <references count="2">
          <reference field="0" count="1" selected="0">
            <x v="3"/>
          </reference>
          <reference field="2" count="1">
            <x v="3"/>
          </reference>
        </references>
      </pivotArea>
    </format>
    <format dxfId="250">
      <pivotArea dataOnly="0" labelOnly="1" outline="0" fieldPosition="0">
        <references count="2">
          <reference field="0" count="1" selected="0">
            <x v="4"/>
          </reference>
          <reference field="2" count="1">
            <x v="4"/>
          </reference>
        </references>
      </pivotArea>
    </format>
    <format dxfId="249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248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247">
      <pivotArea dataOnly="0" labelOnly="1" outline="0" fieldPosition="0">
        <references count="3">
          <reference field="0" count="1" selected="0">
            <x v="2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46">
      <pivotArea dataOnly="0" labelOnly="1" outline="0" fieldPosition="0">
        <references count="3">
          <reference field="0" count="1" selected="0">
            <x v="3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45">
      <pivotArea dataOnly="0" labelOnly="1" outline="0" fieldPosition="0">
        <references count="3">
          <reference field="0" count="1" selected="0">
            <x v="4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44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>
            <x v="2"/>
          </reference>
        </references>
      </pivotArea>
    </format>
    <format dxfId="243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1">
            <x v="1"/>
          </reference>
        </references>
      </pivotArea>
    </format>
    <format dxfId="242">
      <pivotArea dataOnly="0" labelOnly="1" outline="0" fieldPosition="0">
        <references count="4">
          <reference field="0" count="1" selected="0">
            <x v="2"/>
          </reference>
          <reference field="2" count="1" selected="0">
            <x v="2"/>
          </reference>
          <reference field="3" count="1" selected="0">
            <x v="2"/>
          </reference>
          <reference field="4" count="1">
            <x v="2"/>
          </reference>
        </references>
      </pivotArea>
    </format>
    <format dxfId="241">
      <pivotArea dataOnly="0" labelOnly="1" outline="0" fieldPosition="0">
        <references count="4">
          <reference field="0" count="1" selected="0">
            <x v="3"/>
          </reference>
          <reference field="2" count="1" selected="0">
            <x v="3"/>
          </reference>
          <reference field="3" count="1" selected="0">
            <x v="3"/>
          </reference>
          <reference field="4" count="1">
            <x v="0"/>
          </reference>
        </references>
      </pivotArea>
    </format>
    <format dxfId="240">
      <pivotArea dataOnly="0" labelOnly="1" outline="0" fieldPosition="0">
        <references count="4">
          <reference field="0" count="1" selected="0">
            <x v="4"/>
          </reference>
          <reference field="2" count="1" selected="0">
            <x v="4"/>
          </reference>
          <reference field="3" count="1" selected="0">
            <x v="4"/>
          </reference>
          <reference field="4" count="1">
            <x v="1"/>
          </reference>
        </references>
      </pivotArea>
    </format>
    <format dxfId="239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2"/>
          </reference>
          <reference field="5" count="1">
            <x v="0"/>
          </reference>
        </references>
      </pivotArea>
    </format>
    <format dxfId="238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>
            <x v="1"/>
          </reference>
        </references>
      </pivotArea>
    </format>
    <format dxfId="237">
      <pivotArea dataOnly="0" labelOnly="1" outline="0" fieldPosition="0">
        <references count="5">
          <reference field="0" count="1" selected="0">
            <x v="2"/>
          </reference>
          <reference field="2" count="1" selected="0">
            <x v="2"/>
          </reference>
          <reference field="3" count="1" selected="0">
            <x v="2"/>
          </reference>
          <reference field="4" count="1" selected="0">
            <x v="2"/>
          </reference>
          <reference field="5" count="1">
            <x v="4"/>
          </reference>
        </references>
      </pivotArea>
    </format>
    <format dxfId="236">
      <pivotArea dataOnly="0" labelOnly="1" outline="0" fieldPosition="0">
        <references count="5">
          <reference field="0" count="1" selected="0">
            <x v="3"/>
          </reference>
          <reference field="2" count="1" selected="0">
            <x v="3"/>
          </reference>
          <reference field="3" count="1" selected="0">
            <x v="3"/>
          </reference>
          <reference field="4" count="1" selected="0">
            <x v="0"/>
          </reference>
          <reference field="5" count="1">
            <x v="3"/>
          </reference>
        </references>
      </pivotArea>
    </format>
    <format dxfId="235">
      <pivotArea dataOnly="0" labelOnly="1" outline="0" fieldPosition="0">
        <references count="5">
          <reference field="0" count="1" selected="0">
            <x v="4"/>
          </reference>
          <reference field="2" count="1" selected="0">
            <x v="4"/>
          </reference>
          <reference field="3" count="1" selected="0">
            <x v="4"/>
          </reference>
          <reference field="4" count="1" selected="0">
            <x v="1"/>
          </reference>
          <reference field="5" count="1">
            <x v="2"/>
          </reference>
        </references>
      </pivotArea>
    </format>
    <format dxfId="234">
      <pivotArea field="6" type="button" dataOnly="0" labelOnly="1" outline="0" axis="axisRow" fieldPosition="5"/>
    </format>
    <format dxfId="233">
      <pivotArea field="6" type="button" dataOnly="0" labelOnly="1" outline="0" axis="axisRow" fieldPosition="5"/>
    </format>
    <format dxfId="232">
      <pivotArea field="6" type="button" dataOnly="0" labelOnly="1" outline="0" axis="axisRow" fieldPosition="5"/>
    </format>
    <format dxfId="231">
      <pivotArea field="6" type="button" dataOnly="0" labelOnly="1" outline="0" axis="axisRow" fieldPosition="5"/>
    </format>
    <format dxfId="230">
      <pivotArea outline="0" fieldPosition="0">
        <references count="1">
          <reference field="4294967294" count="1">
            <x v="1"/>
          </reference>
        </references>
      </pivotArea>
    </format>
    <format dxfId="229">
      <pivotArea dataOnly="0" outline="0" axis="axisValues" fieldPosition="0"/>
    </format>
    <format dxfId="228">
      <pivotArea dataOnly="0" outline="0" axis="axisValues" fieldPosition="0"/>
    </format>
    <format dxfId="227">
      <pivotArea dataOnly="0" outline="0" axis="axisValues" fieldPosition="0"/>
    </format>
    <format dxfId="226">
      <pivotArea dataOnly="0" outline="0" axis="axisValues" fieldPosition="0"/>
    </format>
    <format dxfId="225">
      <pivotArea field="0" type="button" dataOnly="0" labelOnly="1" outline="0" axis="axisRow" fieldPosition="0"/>
    </format>
    <format dxfId="224">
      <pivotArea field="2" type="button" dataOnly="0" labelOnly="1" outline="0" axis="axisRow" fieldPosition="1"/>
    </format>
    <format dxfId="223">
      <pivotArea field="3" type="button" dataOnly="0" labelOnly="1" outline="0" axis="axisRow" fieldPosition="2"/>
    </format>
    <format dxfId="222">
      <pivotArea field="4" type="button" dataOnly="0" labelOnly="1" outline="0" axis="axisRow" fieldPosition="3"/>
    </format>
    <format dxfId="221">
      <pivotArea field="5" type="button" dataOnly="0" labelOnly="1" outline="0" axis="axisRow" fieldPosition="4"/>
    </format>
    <format dxfId="220">
      <pivotArea field="6" type="button" dataOnly="0" labelOnly="1" outline="0" axis="axisRow" fieldPosition="5"/>
    </format>
    <format dxfId="219">
      <pivotArea field="7" type="button" dataOnly="0" labelOnly="1" outline="0"/>
    </format>
    <format dxfId="218">
      <pivotArea dataOnly="0" labelOnly="1" outline="0" axis="axisValues" fieldPosition="0"/>
    </format>
    <format dxfId="217">
      <pivotArea dataOnly="0" labelOnly="1" outline="0" axis="axisValues" fieldPosition="0"/>
    </format>
    <format dxfId="216">
      <pivotArea dataOnly="0" labelOnly="1" grandRow="1" outline="0" fieldPosition="0"/>
    </format>
    <format dxfId="215">
      <pivotArea outline="0" collapsedLevelsAreSubtotals="1" fieldPosition="0"/>
    </format>
    <format dxfId="214">
      <pivotArea dataOnly="0" labelOnly="1" outline="0" fieldPosition="0">
        <references count="1">
          <reference field="0" count="0"/>
        </references>
      </pivotArea>
    </format>
    <format dxfId="213">
      <pivotArea dataOnly="0" labelOnly="1" grandRow="1" outline="0" fieldPosition="0"/>
    </format>
    <format dxfId="212">
      <pivotArea dataOnly="0" labelOnly="1" outline="0" fieldPosition="0">
        <references count="2">
          <reference field="0" count="1" selected="0">
            <x v="0"/>
          </reference>
          <reference field="2" count="1">
            <x v="0"/>
          </reference>
        </references>
      </pivotArea>
    </format>
    <format dxfId="211">
      <pivotArea dataOnly="0" labelOnly="1" outline="0" fieldPosition="0">
        <references count="2">
          <reference field="0" count="1" selected="0">
            <x v="1"/>
          </reference>
          <reference field="2" count="1">
            <x v="1"/>
          </reference>
        </references>
      </pivotArea>
    </format>
    <format dxfId="210">
      <pivotArea dataOnly="0" labelOnly="1" outline="0" fieldPosition="0">
        <references count="2">
          <reference field="0" count="1" selected="0">
            <x v="2"/>
          </reference>
          <reference field="2" count="1">
            <x v="2"/>
          </reference>
        </references>
      </pivotArea>
    </format>
    <format dxfId="209">
      <pivotArea dataOnly="0" labelOnly="1" outline="0" fieldPosition="0">
        <references count="2">
          <reference field="0" count="1" selected="0">
            <x v="3"/>
          </reference>
          <reference field="2" count="1">
            <x v="3"/>
          </reference>
        </references>
      </pivotArea>
    </format>
    <format dxfId="208">
      <pivotArea dataOnly="0" labelOnly="1" outline="0" fieldPosition="0">
        <references count="2">
          <reference field="0" count="1" selected="0">
            <x v="4"/>
          </reference>
          <reference field="2" count="1">
            <x v="4"/>
          </reference>
        </references>
      </pivotArea>
    </format>
    <format dxfId="207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206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205">
      <pivotArea dataOnly="0" labelOnly="1" outline="0" fieldPosition="0">
        <references count="3">
          <reference field="0" count="1" selected="0">
            <x v="2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04">
      <pivotArea dataOnly="0" labelOnly="1" outline="0" fieldPosition="0">
        <references count="3">
          <reference field="0" count="1" selected="0">
            <x v="3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03">
      <pivotArea dataOnly="0" labelOnly="1" outline="0" fieldPosition="0">
        <references count="3">
          <reference field="0" count="1" selected="0">
            <x v="4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02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>
            <x v="2"/>
          </reference>
        </references>
      </pivotArea>
    </format>
    <format dxfId="201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1">
            <x v="1"/>
          </reference>
        </references>
      </pivotArea>
    </format>
    <format dxfId="200">
      <pivotArea dataOnly="0" labelOnly="1" outline="0" fieldPosition="0">
        <references count="4">
          <reference field="0" count="1" selected="0">
            <x v="2"/>
          </reference>
          <reference field="2" count="1" selected="0">
            <x v="2"/>
          </reference>
          <reference field="3" count="1" selected="0">
            <x v="2"/>
          </reference>
          <reference field="4" count="1">
            <x v="2"/>
          </reference>
        </references>
      </pivotArea>
    </format>
    <format dxfId="199">
      <pivotArea dataOnly="0" labelOnly="1" outline="0" fieldPosition="0">
        <references count="4">
          <reference field="0" count="1" selected="0">
            <x v="3"/>
          </reference>
          <reference field="2" count="1" selected="0">
            <x v="3"/>
          </reference>
          <reference field="3" count="1" selected="0">
            <x v="3"/>
          </reference>
          <reference field="4" count="1">
            <x v="0"/>
          </reference>
        </references>
      </pivotArea>
    </format>
    <format dxfId="198">
      <pivotArea dataOnly="0" labelOnly="1" outline="0" fieldPosition="0">
        <references count="4">
          <reference field="0" count="1" selected="0">
            <x v="4"/>
          </reference>
          <reference field="2" count="1" selected="0">
            <x v="4"/>
          </reference>
          <reference field="3" count="1" selected="0">
            <x v="4"/>
          </reference>
          <reference field="4" count="1">
            <x v="1"/>
          </reference>
        </references>
      </pivotArea>
    </format>
    <format dxfId="197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2"/>
          </reference>
          <reference field="5" count="1">
            <x v="0"/>
          </reference>
        </references>
      </pivotArea>
    </format>
    <format dxfId="196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>
            <x v="1"/>
          </reference>
        </references>
      </pivotArea>
    </format>
    <format dxfId="195">
      <pivotArea dataOnly="0" labelOnly="1" outline="0" fieldPosition="0">
        <references count="5">
          <reference field="0" count="1" selected="0">
            <x v="2"/>
          </reference>
          <reference field="2" count="1" selected="0">
            <x v="2"/>
          </reference>
          <reference field="3" count="1" selected="0">
            <x v="2"/>
          </reference>
          <reference field="4" count="1" selected="0">
            <x v="2"/>
          </reference>
          <reference field="5" count="1">
            <x v="4"/>
          </reference>
        </references>
      </pivotArea>
    </format>
    <format dxfId="194">
      <pivotArea dataOnly="0" labelOnly="1" outline="0" fieldPosition="0">
        <references count="5">
          <reference field="0" count="1" selected="0">
            <x v="3"/>
          </reference>
          <reference field="2" count="1" selected="0">
            <x v="3"/>
          </reference>
          <reference field="3" count="1" selected="0">
            <x v="3"/>
          </reference>
          <reference field="4" count="1" selected="0">
            <x v="0"/>
          </reference>
          <reference field="5" count="1">
            <x v="3"/>
          </reference>
        </references>
      </pivotArea>
    </format>
    <format dxfId="193">
      <pivotArea dataOnly="0" labelOnly="1" outline="0" fieldPosition="0">
        <references count="5">
          <reference field="0" count="1" selected="0">
            <x v="4"/>
          </reference>
          <reference field="2" count="1" selected="0">
            <x v="4"/>
          </reference>
          <reference field="3" count="1" selected="0">
            <x v="4"/>
          </reference>
          <reference field="4" count="1" selected="0">
            <x v="1"/>
          </reference>
          <reference field="5" count="1">
            <x v="2"/>
          </reference>
        </references>
      </pivotArea>
    </format>
    <format dxfId="192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191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"/>
          </reference>
        </references>
      </pivotArea>
    </format>
    <format dxfId="190">
      <pivotArea dataOnly="0" labelOnly="1" outline="0" fieldPosition="0">
        <references count="6">
          <reference field="0" count="1" selected="0">
            <x v="2"/>
          </reference>
          <reference field="2" count="1" selected="0">
            <x v="2"/>
          </reference>
          <reference field="3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0"/>
          </reference>
        </references>
      </pivotArea>
    </format>
    <format dxfId="189">
      <pivotArea dataOnly="0" labelOnly="1" outline="0" fieldPosition="0">
        <references count="6">
          <reference field="0" count="1" selected="0">
            <x v="3"/>
          </reference>
          <reference field="2" count="1" selected="0">
            <x v="3"/>
          </reference>
          <reference field="3" count="1" selected="0">
            <x v="3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3"/>
          </reference>
        </references>
      </pivotArea>
    </format>
    <format dxfId="188">
      <pivotArea dataOnly="0" labelOnly="1" outline="0" fieldPosition="0">
        <references count="6">
          <reference field="0" count="1" selected="0">
            <x v="4"/>
          </reference>
          <reference field="2" count="1" selected="0">
            <x v="4"/>
          </reference>
          <reference field="3" count="1" selected="0">
            <x v="4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1"/>
          </reference>
        </references>
      </pivotArea>
    </format>
    <format dxfId="187">
      <pivotArea dataOnly="0" labelOnly="1" outline="0" fieldPosition="0">
        <references count="1">
          <reference field="0" count="0"/>
        </references>
      </pivotArea>
    </format>
    <format dxfId="186">
      <pivotArea dataOnly="0" labelOnly="1" outline="0" fieldPosition="0">
        <references count="2">
          <reference field="0" count="1" selected="0">
            <x v="0"/>
          </reference>
          <reference field="2" count="1">
            <x v="0"/>
          </reference>
        </references>
      </pivotArea>
    </format>
    <format dxfId="185">
      <pivotArea dataOnly="0" labelOnly="1" outline="0" fieldPosition="0">
        <references count="2">
          <reference field="0" count="1" selected="0">
            <x v="1"/>
          </reference>
          <reference field="2" count="1">
            <x v="1"/>
          </reference>
        </references>
      </pivotArea>
    </format>
    <format dxfId="184">
      <pivotArea dataOnly="0" labelOnly="1" outline="0" fieldPosition="0">
        <references count="2">
          <reference field="0" count="1" selected="0">
            <x v="2"/>
          </reference>
          <reference field="2" count="1">
            <x v="2"/>
          </reference>
        </references>
      </pivotArea>
    </format>
    <format dxfId="183">
      <pivotArea dataOnly="0" labelOnly="1" outline="0" fieldPosition="0">
        <references count="2">
          <reference field="0" count="1" selected="0">
            <x v="3"/>
          </reference>
          <reference field="2" count="1">
            <x v="3"/>
          </reference>
        </references>
      </pivotArea>
    </format>
    <format dxfId="182">
      <pivotArea dataOnly="0" labelOnly="1" outline="0" fieldPosition="0">
        <references count="2">
          <reference field="0" count="1" selected="0">
            <x v="4"/>
          </reference>
          <reference field="2" count="1">
            <x v="4"/>
          </reference>
        </references>
      </pivotArea>
    </format>
    <format dxfId="181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180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179">
      <pivotArea dataOnly="0" labelOnly="1" outline="0" fieldPosition="0">
        <references count="3">
          <reference field="0" count="1" selected="0">
            <x v="2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78">
      <pivotArea dataOnly="0" labelOnly="1" outline="0" fieldPosition="0">
        <references count="3">
          <reference field="0" count="1" selected="0">
            <x v="3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77">
      <pivotArea dataOnly="0" labelOnly="1" outline="0" fieldPosition="0">
        <references count="3">
          <reference field="0" count="1" selected="0">
            <x v="4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76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>
            <x v="2"/>
          </reference>
        </references>
      </pivotArea>
    </format>
    <format dxfId="175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1">
            <x v="1"/>
          </reference>
        </references>
      </pivotArea>
    </format>
    <format dxfId="174">
      <pivotArea dataOnly="0" labelOnly="1" outline="0" fieldPosition="0">
        <references count="4">
          <reference field="0" count="1" selected="0">
            <x v="2"/>
          </reference>
          <reference field="2" count="1" selected="0">
            <x v="2"/>
          </reference>
          <reference field="3" count="1" selected="0">
            <x v="2"/>
          </reference>
          <reference field="4" count="1">
            <x v="2"/>
          </reference>
        </references>
      </pivotArea>
    </format>
    <format dxfId="173">
      <pivotArea dataOnly="0" labelOnly="1" outline="0" fieldPosition="0">
        <references count="4">
          <reference field="0" count="1" selected="0">
            <x v="3"/>
          </reference>
          <reference field="2" count="1" selected="0">
            <x v="3"/>
          </reference>
          <reference field="3" count="1" selected="0">
            <x v="3"/>
          </reference>
          <reference field="4" count="1">
            <x v="0"/>
          </reference>
        </references>
      </pivotArea>
    </format>
    <format dxfId="172">
      <pivotArea dataOnly="0" labelOnly="1" outline="0" fieldPosition="0">
        <references count="4">
          <reference field="0" count="1" selected="0">
            <x v="4"/>
          </reference>
          <reference field="2" count="1" selected="0">
            <x v="4"/>
          </reference>
          <reference field="3" count="1" selected="0">
            <x v="4"/>
          </reference>
          <reference field="4" count="1">
            <x v="1"/>
          </reference>
        </references>
      </pivotArea>
    </format>
    <format dxfId="171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2"/>
          </reference>
          <reference field="5" count="1">
            <x v="0"/>
          </reference>
        </references>
      </pivotArea>
    </format>
    <format dxfId="170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>
            <x v="1"/>
          </reference>
        </references>
      </pivotArea>
    </format>
    <format dxfId="169">
      <pivotArea dataOnly="0" labelOnly="1" outline="0" fieldPosition="0">
        <references count="5">
          <reference field="0" count="1" selected="0">
            <x v="2"/>
          </reference>
          <reference field="2" count="1" selected="0">
            <x v="2"/>
          </reference>
          <reference field="3" count="1" selected="0">
            <x v="2"/>
          </reference>
          <reference field="4" count="1" selected="0">
            <x v="2"/>
          </reference>
          <reference field="5" count="1">
            <x v="4"/>
          </reference>
        </references>
      </pivotArea>
    </format>
    <format dxfId="168">
      <pivotArea dataOnly="0" labelOnly="1" outline="0" fieldPosition="0">
        <references count="5">
          <reference field="0" count="1" selected="0">
            <x v="3"/>
          </reference>
          <reference field="2" count="1" selected="0">
            <x v="3"/>
          </reference>
          <reference field="3" count="1" selected="0">
            <x v="3"/>
          </reference>
          <reference field="4" count="1" selected="0">
            <x v="0"/>
          </reference>
          <reference field="5" count="1">
            <x v="3"/>
          </reference>
        </references>
      </pivotArea>
    </format>
    <format dxfId="167">
      <pivotArea dataOnly="0" labelOnly="1" outline="0" fieldPosition="0">
        <references count="5">
          <reference field="0" count="1" selected="0">
            <x v="4"/>
          </reference>
          <reference field="2" count="1" selected="0">
            <x v="4"/>
          </reference>
          <reference field="3" count="1" selected="0">
            <x v="4"/>
          </reference>
          <reference field="4" count="1" selected="0">
            <x v="1"/>
          </reference>
          <reference field="5" count="1">
            <x v="2"/>
          </reference>
        </references>
      </pivotArea>
    </format>
    <format dxfId="166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165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"/>
          </reference>
        </references>
      </pivotArea>
    </format>
    <format dxfId="164">
      <pivotArea dataOnly="0" labelOnly="1" outline="0" fieldPosition="0">
        <references count="6">
          <reference field="0" count="1" selected="0">
            <x v="2"/>
          </reference>
          <reference field="2" count="1" selected="0">
            <x v="2"/>
          </reference>
          <reference field="3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0"/>
          </reference>
        </references>
      </pivotArea>
    </format>
    <format dxfId="163">
      <pivotArea dataOnly="0" labelOnly="1" outline="0" fieldPosition="0">
        <references count="6">
          <reference field="0" count="1" selected="0">
            <x v="3"/>
          </reference>
          <reference field="2" count="1" selected="0">
            <x v="3"/>
          </reference>
          <reference field="3" count="1" selected="0">
            <x v="3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3"/>
          </reference>
        </references>
      </pivotArea>
    </format>
    <format dxfId="162">
      <pivotArea dataOnly="0" labelOnly="1" outline="0" fieldPosition="0">
        <references count="6">
          <reference field="0" count="1" selected="0">
            <x v="4"/>
          </reference>
          <reference field="2" count="1" selected="0">
            <x v="4"/>
          </reference>
          <reference field="3" count="1" selected="0">
            <x v="4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1"/>
          </reference>
        </references>
      </pivotArea>
    </format>
    <format dxfId="16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6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8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157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"/>
          </reference>
        </references>
      </pivotArea>
    </format>
    <format dxfId="156">
      <pivotArea dataOnly="0" labelOnly="1" outline="0" fieldPosition="0">
        <references count="6">
          <reference field="0" count="1" selected="0">
            <x v="2"/>
          </reference>
          <reference field="2" count="1" selected="0">
            <x v="2"/>
          </reference>
          <reference field="3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0"/>
          </reference>
        </references>
      </pivotArea>
    </format>
    <format dxfId="155">
      <pivotArea dataOnly="0" labelOnly="1" outline="0" fieldPosition="0">
        <references count="6">
          <reference field="0" count="1" selected="0">
            <x v="3"/>
          </reference>
          <reference field="2" count="1" selected="0">
            <x v="3"/>
          </reference>
          <reference field="3" count="1" selected="0">
            <x v="3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3"/>
          </reference>
        </references>
      </pivotArea>
    </format>
    <format dxfId="154">
      <pivotArea dataOnly="0" labelOnly="1" outline="0" fieldPosition="0">
        <references count="6">
          <reference field="0" count="1" selected="0">
            <x v="4"/>
          </reference>
          <reference field="2" count="1" selected="0">
            <x v="4"/>
          </reference>
          <reference field="3" count="1" selected="0">
            <x v="4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1"/>
          </reference>
        </references>
      </pivotArea>
    </format>
    <format dxfId="153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152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"/>
          </reference>
        </references>
      </pivotArea>
    </format>
    <format dxfId="151">
      <pivotArea dataOnly="0" labelOnly="1" outline="0" fieldPosition="0">
        <references count="6">
          <reference field="0" count="1" selected="0">
            <x v="2"/>
          </reference>
          <reference field="2" count="1" selected="0">
            <x v="2"/>
          </reference>
          <reference field="3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0"/>
          </reference>
        </references>
      </pivotArea>
    </format>
    <format dxfId="150">
      <pivotArea dataOnly="0" labelOnly="1" outline="0" fieldPosition="0">
        <references count="6">
          <reference field="0" count="1" selected="0">
            <x v="3"/>
          </reference>
          <reference field="2" count="1" selected="0">
            <x v="3"/>
          </reference>
          <reference field="3" count="1" selected="0">
            <x v="3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3"/>
          </reference>
        </references>
      </pivotArea>
    </format>
    <format dxfId="149">
      <pivotArea dataOnly="0" labelOnly="1" outline="0" fieldPosition="0">
        <references count="6">
          <reference field="0" count="1" selected="0">
            <x v="4"/>
          </reference>
          <reference field="2" count="1" selected="0">
            <x v="4"/>
          </reference>
          <reference field="3" count="1" selected="0">
            <x v="4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1"/>
          </reference>
        </references>
      </pivotArea>
    </format>
  </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2" applyNumberFormats="0" applyBorderFormats="0" applyFontFormats="0" applyPatternFormats="0" applyAlignmentFormats="0" applyWidthHeightFormats="1" dataCaption="Values" updatedVersion="6" minRefreshableVersion="3" showDrill="0" useAutoFormatting="1" itemPrintTitles="1" createdVersion="6" indent="0" compact="0" compactData="0" multipleFieldFilters="0">
  <location ref="B16:G22" firstHeaderRow="0" firstDataRow="1" firstDataCol="3" rowPageCount="1" colPageCount="1"/>
  <pivotFields count="7">
    <pivotField axis="axisRow" compact="0" outline="0" showAll="0" defaultSubtotal="0">
      <items count="5">
        <item x="0"/>
        <item x="1"/>
        <item x="2"/>
        <item x="3"/>
        <item x="4"/>
      </items>
    </pivotField>
    <pivotField axis="axisPage" compact="0" outline="0" multipleItemSelectionAllowed="1" showAll="0" defaultSubtotal="0">
      <items count="5">
        <item x="0"/>
        <item x="1"/>
        <item x="2"/>
        <item x="3"/>
        <item x="4"/>
      </items>
    </pivotField>
    <pivotField axis="axisRow" compact="0" outline="0" showAll="0" defaultSubtotal="0">
      <items count="3">
        <item x="2"/>
        <item x="1"/>
        <item x="0"/>
      </items>
    </pivotField>
    <pivotField axis="axisRow" compact="0" outline="0" showAll="0" defaultSubtotal="0">
      <items count="5">
        <item x="0"/>
        <item x="1"/>
        <item x="4"/>
        <item x="3"/>
        <item x="2"/>
      </items>
    </pivotField>
    <pivotField dataField="1" compact="0" outline="0" showAll="0" defaultSubtotal="0">
      <items count="5">
        <item x="1"/>
        <item x="3"/>
        <item x="4"/>
        <item x="0"/>
        <item x="2"/>
      </items>
    </pivotField>
    <pivotField dataField="1" compact="0" outline="0" showAll="0" defaultSubtotal="0">
      <items count="5">
        <item x="1"/>
        <item x="3"/>
        <item x="0"/>
        <item x="4"/>
        <item x="2"/>
      </items>
    </pivotField>
    <pivotField dataField="1" compact="0" outline="0" showAll="0" defaultSubtotal="0">
      <items count="5">
        <item x="1"/>
        <item x="4"/>
        <item x="3"/>
        <item x="2"/>
        <item x="0"/>
      </items>
    </pivotField>
  </pivotFields>
  <rowFields count="3">
    <field x="0"/>
    <field x="2"/>
    <field x="3"/>
  </rowFields>
  <rowItems count="6">
    <i>
      <x/>
      <x v="2"/>
      <x/>
    </i>
    <i>
      <x v="1"/>
      <x v="1"/>
      <x v="1"/>
    </i>
    <i>
      <x v="2"/>
      <x v="2"/>
      <x v="4"/>
    </i>
    <i>
      <x v="3"/>
      <x/>
      <x v="3"/>
    </i>
    <i>
      <x v="4"/>
      <x v="1"/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Sum of Total Purchase QTY" fld="4" baseField="0" baseItem="0"/>
    <dataField name="Sum of Total Sale QTY" fld="5" baseField="0" baseItem="0"/>
    <dataField name="Sum of Available QTY" fld="6" baseField="0" baseItem="0"/>
  </dataFields>
  <formats count="149">
    <format dxfId="148">
      <pivotArea field="0" type="button" dataOnly="0" labelOnly="1" outline="0" axis="axisRow" fieldPosition="0"/>
    </format>
    <format dxfId="147">
      <pivotArea field="2" type="button" dataOnly="0" labelOnly="1" outline="0" axis="axisRow" fieldPosition="1"/>
    </format>
    <format dxfId="146">
      <pivotArea field="3" type="button" dataOnly="0" labelOnly="1" outline="0" axis="axisRow" fieldPosition="2"/>
    </format>
    <format dxfId="145">
      <pivotArea field="0" type="button" dataOnly="0" labelOnly="1" outline="0" axis="axisRow" fieldPosition="0"/>
    </format>
    <format dxfId="144">
      <pivotArea field="2" type="button" dataOnly="0" labelOnly="1" outline="0" axis="axisRow" fieldPosition="1"/>
    </format>
    <format dxfId="143">
      <pivotArea field="3" type="button" dataOnly="0" labelOnly="1" outline="0" axis="axisRow" fieldPosition="2"/>
    </format>
    <format dxfId="142">
      <pivotArea field="0" type="button" dataOnly="0" labelOnly="1" outline="0" axis="axisRow" fieldPosition="0"/>
    </format>
    <format dxfId="141">
      <pivotArea field="2" type="button" dataOnly="0" labelOnly="1" outline="0" axis="axisRow" fieldPosition="1"/>
    </format>
    <format dxfId="140">
      <pivotArea field="3" type="button" dataOnly="0" labelOnly="1" outline="0" axis="axisRow" fieldPosition="2"/>
    </format>
    <format dxfId="139">
      <pivotArea outline="0" fieldPosition="0">
        <references count="3">
          <reference field="0" count="0" selected="0"/>
          <reference field="2" count="0" selected="0"/>
          <reference field="3" count="0" selected="0"/>
        </references>
      </pivotArea>
    </format>
    <format dxfId="138">
      <pivotArea dataOnly="0" labelOnly="1" outline="0" fieldPosition="0">
        <references count="1">
          <reference field="0" count="0"/>
        </references>
      </pivotArea>
    </format>
    <format dxfId="137">
      <pivotArea dataOnly="0" labelOnly="1" outline="0" fieldPosition="0">
        <references count="2">
          <reference field="0" count="1" selected="0">
            <x v="0"/>
          </reference>
          <reference field="2" count="1">
            <x v="2"/>
          </reference>
        </references>
      </pivotArea>
    </format>
    <format dxfId="136">
      <pivotArea dataOnly="0" labelOnly="1" outline="0" fieldPosition="0">
        <references count="2">
          <reference field="0" count="1" selected="0">
            <x v="1"/>
          </reference>
          <reference field="2" count="1">
            <x v="1"/>
          </reference>
        </references>
      </pivotArea>
    </format>
    <format dxfId="135">
      <pivotArea dataOnly="0" labelOnly="1" outline="0" fieldPosition="0">
        <references count="2">
          <reference field="0" count="1" selected="0">
            <x v="2"/>
          </reference>
          <reference field="2" count="1">
            <x v="2"/>
          </reference>
        </references>
      </pivotArea>
    </format>
    <format dxfId="134">
      <pivotArea dataOnly="0" labelOnly="1" outline="0" fieldPosition="0">
        <references count="2">
          <reference field="0" count="1" selected="0">
            <x v="3"/>
          </reference>
          <reference field="2" count="1">
            <x v="0"/>
          </reference>
        </references>
      </pivotArea>
    </format>
    <format dxfId="133">
      <pivotArea dataOnly="0" labelOnly="1" outline="0" fieldPosition="0">
        <references count="2">
          <reference field="0" count="1" selected="0">
            <x v="4"/>
          </reference>
          <reference field="2" count="1">
            <x v="1"/>
          </reference>
        </references>
      </pivotArea>
    </format>
    <format dxfId="132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2"/>
          </reference>
          <reference field="3" count="1">
            <x v="0"/>
          </reference>
        </references>
      </pivotArea>
    </format>
    <format dxfId="131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130">
      <pivotArea dataOnly="0" labelOnly="1" outline="0" fieldPosition="0">
        <references count="3">
          <reference field="0" count="1" selected="0">
            <x v="2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129">
      <pivotArea dataOnly="0" labelOnly="1" outline="0" fieldPosition="0">
        <references count="3">
          <reference field="0" count="1" selected="0">
            <x v="3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28">
      <pivotArea dataOnly="0" labelOnly="1" outline="0" fieldPosition="0">
        <references count="3">
          <reference field="0" count="1" selected="0">
            <x v="4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27">
      <pivotArea outline="0" fieldPosition="0">
        <references count="3">
          <reference field="0" count="0" selected="0"/>
          <reference field="2" count="0" selected="0"/>
          <reference field="3" count="0" selected="0"/>
        </references>
      </pivotArea>
    </format>
    <format dxfId="126">
      <pivotArea dataOnly="0" labelOnly="1" outline="0" fieldPosition="0">
        <references count="1">
          <reference field="0" count="0"/>
        </references>
      </pivotArea>
    </format>
    <format dxfId="125">
      <pivotArea dataOnly="0" labelOnly="1" outline="0" fieldPosition="0">
        <references count="2">
          <reference field="0" count="1" selected="0">
            <x v="0"/>
          </reference>
          <reference field="2" count="1">
            <x v="2"/>
          </reference>
        </references>
      </pivotArea>
    </format>
    <format dxfId="124">
      <pivotArea dataOnly="0" labelOnly="1" outline="0" fieldPosition="0">
        <references count="2">
          <reference field="0" count="1" selected="0">
            <x v="1"/>
          </reference>
          <reference field="2" count="1">
            <x v="1"/>
          </reference>
        </references>
      </pivotArea>
    </format>
    <format dxfId="123">
      <pivotArea dataOnly="0" labelOnly="1" outline="0" fieldPosition="0">
        <references count="2">
          <reference field="0" count="1" selected="0">
            <x v="2"/>
          </reference>
          <reference field="2" count="1">
            <x v="2"/>
          </reference>
        </references>
      </pivotArea>
    </format>
    <format dxfId="122">
      <pivotArea dataOnly="0" labelOnly="1" outline="0" fieldPosition="0">
        <references count="2">
          <reference field="0" count="1" selected="0">
            <x v="3"/>
          </reference>
          <reference field="2" count="1">
            <x v="0"/>
          </reference>
        </references>
      </pivotArea>
    </format>
    <format dxfId="121">
      <pivotArea dataOnly="0" labelOnly="1" outline="0" fieldPosition="0">
        <references count="2">
          <reference field="0" count="1" selected="0">
            <x v="4"/>
          </reference>
          <reference field="2" count="1">
            <x v="1"/>
          </reference>
        </references>
      </pivotArea>
    </format>
    <format dxfId="120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2"/>
          </reference>
          <reference field="3" count="1">
            <x v="0"/>
          </reference>
        </references>
      </pivotArea>
    </format>
    <format dxfId="119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118">
      <pivotArea dataOnly="0" labelOnly="1" outline="0" fieldPosition="0">
        <references count="3">
          <reference field="0" count="1" selected="0">
            <x v="2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117">
      <pivotArea dataOnly="0" labelOnly="1" outline="0" fieldPosition="0">
        <references count="3">
          <reference field="0" count="1" selected="0">
            <x v="3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16">
      <pivotArea dataOnly="0" labelOnly="1" outline="0" fieldPosition="0">
        <references count="3">
          <reference field="0" count="1" selected="0">
            <x v="4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15">
      <pivotArea grandRow="1" outline="0" collapsedLevelsAreSubtotals="1" fieldPosition="0"/>
    </format>
    <format dxfId="114">
      <pivotArea dataOnly="0" labelOnly="1" grandRow="1" outline="0" fieldPosition="0"/>
    </format>
    <format dxfId="113">
      <pivotArea grandRow="1" outline="0" collapsedLevelsAreSubtotals="1" fieldPosition="0"/>
    </format>
    <format dxfId="112">
      <pivotArea dataOnly="0" labelOnly="1" grandRow="1" outline="0" fieldPosition="0"/>
    </format>
    <format dxfId="111">
      <pivotArea dataOnly="0" labelOnly="1" grandRow="1" outline="0" fieldPosition="0"/>
    </format>
    <format dxfId="110">
      <pivotArea dataOnly="0" labelOnly="1" grandRow="1" outline="0" fieldPosition="0"/>
    </format>
    <format dxfId="109">
      <pivotArea type="all" dataOnly="0" outline="0" fieldPosition="0"/>
    </format>
    <format dxfId="108">
      <pivotArea outline="0" collapsedLevelsAreSubtotals="1" fieldPosition="0"/>
    </format>
    <format dxfId="107">
      <pivotArea field="0" type="button" dataOnly="0" labelOnly="1" outline="0" axis="axisRow" fieldPosition="0"/>
    </format>
    <format dxfId="106">
      <pivotArea field="2" type="button" dataOnly="0" labelOnly="1" outline="0" axis="axisRow" fieldPosition="1"/>
    </format>
    <format dxfId="105">
      <pivotArea field="3" type="button" dataOnly="0" labelOnly="1" outline="0" axis="axisRow" fieldPosition="2"/>
    </format>
    <format dxfId="104">
      <pivotArea dataOnly="0" labelOnly="1" outline="0" fieldPosition="0">
        <references count="1">
          <reference field="0" count="0"/>
        </references>
      </pivotArea>
    </format>
    <format dxfId="103">
      <pivotArea dataOnly="0" labelOnly="1" grandRow="1" outline="0" fieldPosition="0"/>
    </format>
    <format dxfId="102">
      <pivotArea dataOnly="0" labelOnly="1" outline="0" fieldPosition="0">
        <references count="2">
          <reference field="0" count="1" selected="0">
            <x v="0"/>
          </reference>
          <reference field="2" count="1">
            <x v="2"/>
          </reference>
        </references>
      </pivotArea>
    </format>
    <format dxfId="101">
      <pivotArea dataOnly="0" labelOnly="1" outline="0" fieldPosition="0">
        <references count="2">
          <reference field="0" count="1" selected="0">
            <x v="1"/>
          </reference>
          <reference field="2" count="1">
            <x v="1"/>
          </reference>
        </references>
      </pivotArea>
    </format>
    <format dxfId="100">
      <pivotArea dataOnly="0" labelOnly="1" outline="0" fieldPosition="0">
        <references count="2">
          <reference field="0" count="1" selected="0">
            <x v="2"/>
          </reference>
          <reference field="2" count="1">
            <x v="2"/>
          </reference>
        </references>
      </pivotArea>
    </format>
    <format dxfId="99">
      <pivotArea dataOnly="0" labelOnly="1" outline="0" fieldPosition="0">
        <references count="2">
          <reference field="0" count="1" selected="0">
            <x v="3"/>
          </reference>
          <reference field="2" count="1">
            <x v="0"/>
          </reference>
        </references>
      </pivotArea>
    </format>
    <format dxfId="98">
      <pivotArea dataOnly="0" labelOnly="1" outline="0" fieldPosition="0">
        <references count="2">
          <reference field="0" count="1" selected="0">
            <x v="4"/>
          </reference>
          <reference field="2" count="1">
            <x v="1"/>
          </reference>
        </references>
      </pivotArea>
    </format>
    <format dxfId="97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2"/>
          </reference>
          <reference field="3" count="1">
            <x v="0"/>
          </reference>
        </references>
      </pivotArea>
    </format>
    <format dxfId="96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95">
      <pivotArea dataOnly="0" labelOnly="1" outline="0" fieldPosition="0">
        <references count="3">
          <reference field="0" count="1" selected="0">
            <x v="2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94">
      <pivotArea dataOnly="0" labelOnly="1" outline="0" fieldPosition="0">
        <references count="3">
          <reference field="0" count="1" selected="0">
            <x v="3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93">
      <pivotArea dataOnly="0" labelOnly="1" outline="0" fieldPosition="0">
        <references count="3">
          <reference field="0" count="1" selected="0">
            <x v="4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92">
      <pivotArea type="all" dataOnly="0" outline="0" fieldPosition="0"/>
    </format>
    <format dxfId="91">
      <pivotArea outline="0" collapsedLevelsAreSubtotals="1" fieldPosition="0"/>
    </format>
    <format dxfId="90">
      <pivotArea field="0" type="button" dataOnly="0" labelOnly="1" outline="0" axis="axisRow" fieldPosition="0"/>
    </format>
    <format dxfId="89">
      <pivotArea field="2" type="button" dataOnly="0" labelOnly="1" outline="0" axis="axisRow" fieldPosition="1"/>
    </format>
    <format dxfId="88">
      <pivotArea field="3" type="button" dataOnly="0" labelOnly="1" outline="0" axis="axisRow" fieldPosition="2"/>
    </format>
    <format dxfId="87">
      <pivotArea dataOnly="0" labelOnly="1" outline="0" fieldPosition="0">
        <references count="1">
          <reference field="0" count="0"/>
        </references>
      </pivotArea>
    </format>
    <format dxfId="86">
      <pivotArea dataOnly="0" labelOnly="1" grandRow="1" outline="0" fieldPosition="0"/>
    </format>
    <format dxfId="85">
      <pivotArea dataOnly="0" labelOnly="1" outline="0" fieldPosition="0">
        <references count="2">
          <reference field="0" count="1" selected="0">
            <x v="0"/>
          </reference>
          <reference field="2" count="1">
            <x v="2"/>
          </reference>
        </references>
      </pivotArea>
    </format>
    <format dxfId="84">
      <pivotArea dataOnly="0" labelOnly="1" outline="0" fieldPosition="0">
        <references count="2">
          <reference field="0" count="1" selected="0">
            <x v="1"/>
          </reference>
          <reference field="2" count="1">
            <x v="1"/>
          </reference>
        </references>
      </pivotArea>
    </format>
    <format dxfId="83">
      <pivotArea dataOnly="0" labelOnly="1" outline="0" fieldPosition="0">
        <references count="2">
          <reference field="0" count="1" selected="0">
            <x v="2"/>
          </reference>
          <reference field="2" count="1">
            <x v="2"/>
          </reference>
        </references>
      </pivotArea>
    </format>
    <format dxfId="82">
      <pivotArea dataOnly="0" labelOnly="1" outline="0" fieldPosition="0">
        <references count="2">
          <reference field="0" count="1" selected="0">
            <x v="3"/>
          </reference>
          <reference field="2" count="1">
            <x v="0"/>
          </reference>
        </references>
      </pivotArea>
    </format>
    <format dxfId="81">
      <pivotArea dataOnly="0" labelOnly="1" outline="0" fieldPosition="0">
        <references count="2">
          <reference field="0" count="1" selected="0">
            <x v="4"/>
          </reference>
          <reference field="2" count="1">
            <x v="1"/>
          </reference>
        </references>
      </pivotArea>
    </format>
    <format dxfId="80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2"/>
          </reference>
          <reference field="3" count="1">
            <x v="0"/>
          </reference>
        </references>
      </pivotArea>
    </format>
    <format dxfId="79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78">
      <pivotArea dataOnly="0" labelOnly="1" outline="0" fieldPosition="0">
        <references count="3">
          <reference field="0" count="1" selected="0">
            <x v="2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77">
      <pivotArea dataOnly="0" labelOnly="1" outline="0" fieldPosition="0">
        <references count="3">
          <reference field="0" count="1" selected="0">
            <x v="3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76">
      <pivotArea dataOnly="0" labelOnly="1" outline="0" fieldPosition="0">
        <references count="3">
          <reference field="0" count="1" selected="0">
            <x v="4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75">
      <pivotArea dataOnly="0" labelOnly="1" outline="0" fieldPosition="0">
        <references count="1">
          <reference field="0" count="1">
            <x v="0"/>
          </reference>
        </references>
      </pivotArea>
    </format>
    <format dxfId="74">
      <pivotArea dataOnly="0" labelOnly="1" outline="0" fieldPosition="0">
        <references count="1">
          <reference field="0" count="1">
            <x v="0"/>
          </reference>
        </references>
      </pivotArea>
    </format>
    <format dxfId="73">
      <pivotArea dataOnly="0" labelOnly="1" outline="0" fieldPosition="0">
        <references count="1">
          <reference field="0" count="0"/>
        </references>
      </pivotArea>
    </format>
    <format dxfId="72">
      <pivotArea outline="0" fieldPosition="0">
        <references count="3">
          <reference field="0" count="0" selected="0"/>
          <reference field="2" count="0" selected="0"/>
          <reference field="3" count="0" selected="0"/>
        </references>
      </pivotArea>
    </format>
    <format dxfId="71">
      <pivotArea dataOnly="0" labelOnly="1" outline="0" fieldPosition="0">
        <references count="2">
          <reference field="0" count="1" selected="0">
            <x v="0"/>
          </reference>
          <reference field="2" count="1">
            <x v="2"/>
          </reference>
        </references>
      </pivotArea>
    </format>
    <format dxfId="70">
      <pivotArea dataOnly="0" labelOnly="1" outline="0" fieldPosition="0">
        <references count="2">
          <reference field="0" count="1" selected="0">
            <x v="1"/>
          </reference>
          <reference field="2" count="1">
            <x v="1"/>
          </reference>
        </references>
      </pivotArea>
    </format>
    <format dxfId="69">
      <pivotArea dataOnly="0" labelOnly="1" outline="0" fieldPosition="0">
        <references count="2">
          <reference field="0" count="1" selected="0">
            <x v="2"/>
          </reference>
          <reference field="2" count="1">
            <x v="2"/>
          </reference>
        </references>
      </pivotArea>
    </format>
    <format dxfId="68">
      <pivotArea dataOnly="0" labelOnly="1" outline="0" fieldPosition="0">
        <references count="2">
          <reference field="0" count="1" selected="0">
            <x v="3"/>
          </reference>
          <reference field="2" count="1">
            <x v="0"/>
          </reference>
        </references>
      </pivotArea>
    </format>
    <format dxfId="67">
      <pivotArea dataOnly="0" labelOnly="1" outline="0" fieldPosition="0">
        <references count="2">
          <reference field="0" count="1" selected="0">
            <x v="4"/>
          </reference>
          <reference field="2" count="1">
            <x v="1"/>
          </reference>
        </references>
      </pivotArea>
    </format>
    <format dxfId="66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2"/>
          </reference>
          <reference field="3" count="1">
            <x v="0"/>
          </reference>
        </references>
      </pivotArea>
    </format>
    <format dxfId="65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64">
      <pivotArea dataOnly="0" labelOnly="1" outline="0" fieldPosition="0">
        <references count="3">
          <reference field="0" count="1" selected="0">
            <x v="2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63">
      <pivotArea dataOnly="0" labelOnly="1" outline="0" fieldPosition="0">
        <references count="3">
          <reference field="0" count="1" selected="0">
            <x v="3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62">
      <pivotArea dataOnly="0" labelOnly="1" outline="0" fieldPosition="0">
        <references count="3">
          <reference field="0" count="1" selected="0">
            <x v="4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61">
      <pivotArea outline="0" fieldPosition="0">
        <references count="3">
          <reference field="0" count="0" selected="0"/>
          <reference field="2" count="0" selected="0"/>
          <reference field="3" count="0" selected="0"/>
        </references>
      </pivotArea>
    </format>
    <format dxfId="60">
      <pivotArea dataOnly="0" labelOnly="1" outline="0" fieldPosition="0">
        <references count="1">
          <reference field="0" count="0"/>
        </references>
      </pivotArea>
    </format>
    <format dxfId="59">
      <pivotArea dataOnly="0" labelOnly="1" outline="0" fieldPosition="0">
        <references count="2">
          <reference field="0" count="1" selected="0">
            <x v="0"/>
          </reference>
          <reference field="2" count="1">
            <x v="2"/>
          </reference>
        </references>
      </pivotArea>
    </format>
    <format dxfId="58">
      <pivotArea dataOnly="0" labelOnly="1" outline="0" fieldPosition="0">
        <references count="2">
          <reference field="0" count="1" selected="0">
            <x v="1"/>
          </reference>
          <reference field="2" count="1">
            <x v="1"/>
          </reference>
        </references>
      </pivotArea>
    </format>
    <format dxfId="57">
      <pivotArea dataOnly="0" labelOnly="1" outline="0" fieldPosition="0">
        <references count="2">
          <reference field="0" count="1" selected="0">
            <x v="2"/>
          </reference>
          <reference field="2" count="1">
            <x v="2"/>
          </reference>
        </references>
      </pivotArea>
    </format>
    <format dxfId="56">
      <pivotArea dataOnly="0" labelOnly="1" outline="0" fieldPosition="0">
        <references count="2">
          <reference field="0" count="1" selected="0">
            <x v="3"/>
          </reference>
          <reference field="2" count="1">
            <x v="0"/>
          </reference>
        </references>
      </pivotArea>
    </format>
    <format dxfId="55">
      <pivotArea dataOnly="0" labelOnly="1" outline="0" fieldPosition="0">
        <references count="2">
          <reference field="0" count="1" selected="0">
            <x v="4"/>
          </reference>
          <reference field="2" count="1">
            <x v="1"/>
          </reference>
        </references>
      </pivotArea>
    </format>
    <format dxfId="54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2"/>
          </reference>
          <reference field="3" count="1">
            <x v="0"/>
          </reference>
        </references>
      </pivotArea>
    </format>
    <format dxfId="53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52">
      <pivotArea dataOnly="0" labelOnly="1" outline="0" fieldPosition="0">
        <references count="3">
          <reference field="0" count="1" selected="0">
            <x v="2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51">
      <pivotArea dataOnly="0" labelOnly="1" outline="0" fieldPosition="0">
        <references count="3">
          <reference field="0" count="1" selected="0">
            <x v="3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50">
      <pivotArea dataOnly="0" labelOnly="1" outline="0" fieldPosition="0">
        <references count="3">
          <reference field="0" count="1" selected="0">
            <x v="4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49">
      <pivotArea field="0" type="button" dataOnly="0" labelOnly="1" outline="0" axis="axisRow" fieldPosition="0"/>
    </format>
    <format dxfId="48">
      <pivotArea field="2" type="button" dataOnly="0" labelOnly="1" outline="0" axis="axisRow" fieldPosition="1"/>
    </format>
    <format dxfId="47">
      <pivotArea field="3" type="button" dataOnly="0" labelOnly="1" outline="0" axis="axisRow" fieldPosition="2"/>
    </format>
    <format dxfId="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">
      <pivotArea dataOnly="0" labelOnly="1" grandRow="1" outline="0" fieldPosition="0"/>
    </format>
    <format dxfId="44">
      <pivotArea outline="0" collapsedLevelsAreSubtotals="1" fieldPosition="0"/>
    </format>
    <format dxfId="43">
      <pivotArea dataOnly="0" labelOnly="1" outline="0" fieldPosition="0">
        <references count="1">
          <reference field="0" count="0"/>
        </references>
      </pivotArea>
    </format>
    <format dxfId="42">
      <pivotArea dataOnly="0" labelOnly="1" grandRow="1" outline="0" fieldPosition="0"/>
    </format>
    <format dxfId="41">
      <pivotArea dataOnly="0" labelOnly="1" outline="0" fieldPosition="0">
        <references count="2">
          <reference field="0" count="1" selected="0">
            <x v="0"/>
          </reference>
          <reference field="2" count="1">
            <x v="2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1"/>
          </reference>
          <reference field="2" count="1">
            <x v="1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2"/>
          </reference>
          <reference field="2" count="1">
            <x v="2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3"/>
          </reference>
          <reference field="2" count="1">
            <x v="0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4"/>
          </reference>
          <reference field="2" count="1">
            <x v="1"/>
          </reference>
        </references>
      </pivotArea>
    </format>
    <format dxfId="36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2"/>
          </reference>
          <reference field="3" count="1">
            <x v="0"/>
          </reference>
        </references>
      </pivotArea>
    </format>
    <format dxfId="35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34">
      <pivotArea dataOnly="0" labelOnly="1" outline="0" fieldPosition="0">
        <references count="3">
          <reference field="0" count="1" selected="0">
            <x v="2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33">
      <pivotArea dataOnly="0" labelOnly="1" outline="0" fieldPosition="0">
        <references count="3">
          <reference field="0" count="1" selected="0">
            <x v="3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32">
      <pivotArea dataOnly="0" labelOnly="1" outline="0" fieldPosition="0">
        <references count="3">
          <reference field="0" count="1" selected="0">
            <x v="4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31">
      <pivotArea outline="0" fieldPosition="0">
        <references count="3">
          <reference field="0" count="0" selected="0"/>
          <reference field="2" count="0" selected="0"/>
          <reference field="3" count="0" selected="0"/>
        </references>
      </pivotArea>
    </format>
    <format dxfId="30">
      <pivotArea dataOnly="0" labelOnly="1" outline="0" fieldPosition="0">
        <references count="1">
          <reference field="0" count="0"/>
        </references>
      </pivotArea>
    </format>
    <format dxfId="29">
      <pivotArea dataOnly="0" labelOnly="1" outline="0" fieldPosition="0">
        <references count="2">
          <reference field="0" count="1" selected="0">
            <x v="0"/>
          </reference>
          <reference field="2" count="1">
            <x v="2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1"/>
          </reference>
          <reference field="2" count="1">
            <x v="1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2"/>
          </reference>
          <reference field="2" count="1">
            <x v="2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3"/>
          </reference>
          <reference field="2" count="1">
            <x v="0"/>
          </reference>
        </references>
      </pivotArea>
    </format>
    <format dxfId="25">
      <pivotArea dataOnly="0" labelOnly="1" outline="0" fieldPosition="0">
        <references count="2">
          <reference field="0" count="1" selected="0">
            <x v="4"/>
          </reference>
          <reference field="2" count="1">
            <x v="1"/>
          </reference>
        </references>
      </pivotArea>
    </format>
    <format dxfId="24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2"/>
          </reference>
          <reference field="3" count="1">
            <x v="0"/>
          </reference>
        </references>
      </pivotArea>
    </format>
    <format dxfId="23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22">
      <pivotArea dataOnly="0" labelOnly="1" outline="0" fieldPosition="0">
        <references count="3">
          <reference field="0" count="1" selected="0">
            <x v="2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21">
      <pivotArea dataOnly="0" labelOnly="1" outline="0" fieldPosition="0">
        <references count="3">
          <reference field="0" count="1" selected="0">
            <x v="3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0">
      <pivotArea dataOnly="0" labelOnly="1" outline="0" fieldPosition="0">
        <references count="3">
          <reference field="0" count="1" selected="0">
            <x v="4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9">
      <pivotArea outline="0" fieldPosition="0">
        <references count="3">
          <reference field="0" count="0" selected="0"/>
          <reference field="2" count="0" selected="0"/>
          <reference field="3" count="0" selected="0"/>
        </references>
      </pivotArea>
    </format>
    <format dxfId="18">
      <pivotArea dataOnly="0" labelOnly="1" outline="0" fieldPosition="0">
        <references count="1">
          <reference field="0" count="0"/>
        </references>
      </pivotArea>
    </format>
    <format dxfId="17">
      <pivotArea dataOnly="0" labelOnly="1" outline="0" fieldPosition="0">
        <references count="2">
          <reference field="0" count="1" selected="0">
            <x v="0"/>
          </reference>
          <reference field="2" count="1">
            <x v="2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1"/>
          </reference>
          <reference field="2" count="1">
            <x v="1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2"/>
          </reference>
          <reference field="2" count="1">
            <x v="2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3"/>
          </reference>
          <reference field="2" count="1">
            <x v="0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4"/>
          </reference>
          <reference field="2" count="1">
            <x v="1"/>
          </reference>
        </references>
      </pivotArea>
    </format>
    <format dxfId="12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2"/>
          </reference>
          <reference field="3" count="1">
            <x v="0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10">
      <pivotArea dataOnly="0" labelOnly="1" outline="0" fieldPosition="0">
        <references count="3">
          <reference field="0" count="1" selected="0">
            <x v="2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9">
      <pivotArea dataOnly="0" labelOnly="1" outline="0" fieldPosition="0">
        <references count="3">
          <reference field="0" count="1" selected="0">
            <x v="3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8">
      <pivotArea dataOnly="0" labelOnly="1" outline="0" fieldPosition="0">
        <references count="3">
          <reference field="0" count="1" selected="0">
            <x v="4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7">
      <pivotArea field="0" type="button" dataOnly="0" labelOnly="1" outline="0" axis="axisRow" fieldPosition="0"/>
    </format>
    <format dxfId="6">
      <pivotArea field="2" type="button" dataOnly="0" labelOnly="1" outline="0" axis="axisRow" fieldPosition="1"/>
    </format>
    <format dxfId="5">
      <pivotArea field="3" type="button" dataOnly="0" labelOnly="1" outline="0" axis="axisRow" fieldPosition="2"/>
    </format>
    <format dxfId="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">
      <pivotArea field="0" type="button" dataOnly="0" labelOnly="1" outline="0" axis="axisRow" fieldPosition="0"/>
    </format>
    <format dxfId="2">
      <pivotArea field="2" type="button" dataOnly="0" labelOnly="1" outline="0" axis="axisRow" fieldPosition="1"/>
    </format>
    <format dxfId="1">
      <pivotArea field="3" type="button" dataOnly="0" labelOnly="1" outline="0" axis="axisRow" fieldPosition="2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drawing" Target="../drawings/drawing9.xml"/><Relationship Id="rId7" Type="http://schemas.openxmlformats.org/officeDocument/2006/relationships/control" Target="../activeX/activeX4.xml"/><Relationship Id="rId12" Type="http://schemas.openxmlformats.org/officeDocument/2006/relationships/image" Target="../media/image7.emf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3.xml"/><Relationship Id="rId6" Type="http://schemas.openxmlformats.org/officeDocument/2006/relationships/image" Target="../media/image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6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99"/>
  </sheetPr>
  <dimension ref="A1:U41"/>
  <sheetViews>
    <sheetView zoomScaleNormal="100" workbookViewId="0">
      <selection sqref="A1:S18"/>
    </sheetView>
  </sheetViews>
  <sheetFormatPr defaultRowHeight="15"/>
  <cols>
    <col min="1" max="16384" width="9.140625" style="1"/>
  </cols>
  <sheetData>
    <row r="1" spans="1:21">
      <c r="A1" s="78"/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</row>
    <row r="2" spans="1:21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</row>
    <row r="3" spans="1:21">
      <c r="A3" s="78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2"/>
      <c r="U3" s="2"/>
    </row>
    <row r="4" spans="1:21">
      <c r="A4" s="78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2"/>
      <c r="U4" s="2"/>
    </row>
    <row r="5" spans="1:21">
      <c r="A5" s="78"/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2"/>
      <c r="U5" s="2"/>
    </row>
    <row r="6" spans="1:21">
      <c r="A6" s="78"/>
      <c r="B6" s="78"/>
      <c r="C6" s="78"/>
      <c r="D6" s="78"/>
      <c r="E6" s="78"/>
      <c r="F6" s="78"/>
      <c r="G6" s="78"/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2"/>
      <c r="U6" s="2"/>
    </row>
    <row r="7" spans="1:21">
      <c r="A7" s="78"/>
      <c r="B7" s="78"/>
      <c r="C7" s="78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2"/>
      <c r="U7" s="2"/>
    </row>
    <row r="8" spans="1:21">
      <c r="A8" s="78"/>
      <c r="B8" s="78"/>
      <c r="C8" s="78"/>
      <c r="D8" s="78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P8" s="78"/>
      <c r="Q8" s="78"/>
      <c r="R8" s="78"/>
      <c r="S8" s="78"/>
      <c r="T8" s="2"/>
      <c r="U8" s="2"/>
    </row>
    <row r="9" spans="1:21">
      <c r="A9" s="78"/>
      <c r="B9" s="78"/>
      <c r="C9" s="78"/>
      <c r="D9" s="78"/>
      <c r="E9" s="78"/>
      <c r="F9" s="78"/>
      <c r="G9" s="78"/>
      <c r="H9" s="78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2"/>
      <c r="U9" s="2"/>
    </row>
    <row r="10" spans="1:21">
      <c r="A10" s="78"/>
      <c r="B10" s="78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2"/>
      <c r="U10" s="2"/>
    </row>
    <row r="11" spans="1:21">
      <c r="A11" s="78"/>
      <c r="B11" s="78"/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78"/>
      <c r="S11" s="78"/>
      <c r="T11" s="2"/>
      <c r="U11" s="2"/>
    </row>
    <row r="12" spans="1:21">
      <c r="A12" s="78"/>
      <c r="B12" s="78"/>
      <c r="C12" s="78"/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2"/>
      <c r="U12" s="2"/>
    </row>
    <row r="13" spans="1:21">
      <c r="A13" s="78"/>
      <c r="B13" s="78"/>
      <c r="C13" s="78"/>
      <c r="D13" s="78"/>
      <c r="E13" s="78"/>
      <c r="F13" s="78"/>
      <c r="G13" s="78"/>
      <c r="H13" s="78"/>
      <c r="I13" s="78"/>
      <c r="J13" s="78"/>
      <c r="K13" s="78"/>
      <c r="L13" s="78"/>
      <c r="M13" s="78"/>
      <c r="N13" s="78"/>
      <c r="O13" s="78"/>
      <c r="P13" s="78"/>
      <c r="Q13" s="78"/>
      <c r="R13" s="78"/>
      <c r="S13" s="78"/>
      <c r="T13" s="2"/>
      <c r="U13" s="2"/>
    </row>
    <row r="14" spans="1:21">
      <c r="A14" s="78"/>
      <c r="B14" s="78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78"/>
      <c r="S14" s="78"/>
      <c r="T14" s="2"/>
      <c r="U14" s="2"/>
    </row>
    <row r="15" spans="1:21">
      <c r="A15" s="78"/>
      <c r="B15" s="78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78"/>
      <c r="S15" s="78"/>
      <c r="T15" s="2"/>
      <c r="U15" s="2"/>
    </row>
    <row r="16" spans="1:21">
      <c r="A16" s="78"/>
      <c r="B16" s="78"/>
      <c r="C16" s="78"/>
      <c r="D16" s="78"/>
      <c r="E16" s="78"/>
      <c r="F16" s="78"/>
      <c r="G16" s="78"/>
      <c r="H16" s="78"/>
      <c r="I16" s="78"/>
      <c r="J16" s="78"/>
      <c r="K16" s="78"/>
      <c r="L16" s="78"/>
      <c r="M16" s="78"/>
      <c r="N16" s="78"/>
      <c r="O16" s="78"/>
      <c r="P16" s="78"/>
      <c r="Q16" s="78"/>
      <c r="R16" s="78"/>
      <c r="S16" s="78"/>
      <c r="T16" s="2"/>
      <c r="U16" s="2"/>
    </row>
    <row r="17" spans="1:21">
      <c r="A17" s="78"/>
      <c r="B17" s="78"/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2"/>
      <c r="U17" s="2"/>
    </row>
    <row r="18" spans="1:21" ht="21" customHeight="1">
      <c r="A18" s="78"/>
      <c r="B18" s="78"/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78"/>
      <c r="N18" s="78"/>
      <c r="O18" s="78"/>
      <c r="P18" s="78"/>
      <c r="Q18" s="78"/>
      <c r="R18" s="78"/>
      <c r="S18" s="78"/>
      <c r="T18" s="2"/>
      <c r="U18" s="2"/>
    </row>
    <row r="19" spans="1:21" ht="18.75" customHeight="1">
      <c r="A19" s="2"/>
      <c r="B19" s="4"/>
      <c r="C19" s="4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4"/>
      <c r="T19" s="4"/>
      <c r="U19" s="2"/>
    </row>
    <row r="20" spans="1:21">
      <c r="A20" s="2"/>
      <c r="B20" s="4"/>
      <c r="C20" s="4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4"/>
      <c r="T20" s="4"/>
      <c r="U20" s="2"/>
    </row>
    <row r="21" spans="1:21">
      <c r="A21" s="2"/>
      <c r="B21" s="4"/>
      <c r="C21" s="4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4"/>
      <c r="T21" s="4"/>
      <c r="U21" s="2"/>
    </row>
    <row r="22" spans="1:21" ht="15.75" thickBo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1:21">
      <c r="A23" s="118" t="s">
        <v>3</v>
      </c>
      <c r="B23" s="119"/>
      <c r="C23" s="119"/>
      <c r="D23" s="119"/>
      <c r="E23" s="120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1:21">
      <c r="A24" s="121"/>
      <c r="B24" s="122"/>
      <c r="C24" s="122"/>
      <c r="D24" s="122"/>
      <c r="E24" s="123"/>
    </row>
    <row r="25" spans="1:21" ht="15.75" thickBot="1">
      <c r="A25" s="124"/>
      <c r="B25" s="125"/>
      <c r="C25" s="125"/>
      <c r="D25" s="125"/>
      <c r="E25" s="126"/>
    </row>
    <row r="26" spans="1:21" ht="21" customHeight="1" thickBot="1">
      <c r="A26" s="15"/>
      <c r="B26" s="15"/>
      <c r="C26" s="15"/>
      <c r="D26" s="15"/>
      <c r="E26" s="15"/>
      <c r="G26" s="29"/>
      <c r="H26" s="29"/>
      <c r="I26" s="29"/>
      <c r="J26" s="29"/>
      <c r="K26" s="29"/>
    </row>
    <row r="27" spans="1:21" ht="33.75" thickBot="1">
      <c r="A27" s="3"/>
      <c r="B27" s="3"/>
      <c r="C27" s="3"/>
      <c r="D27" s="3"/>
      <c r="E27" s="3"/>
      <c r="G27" s="100" t="s">
        <v>4</v>
      </c>
      <c r="H27" s="101"/>
      <c r="I27" s="101"/>
      <c r="J27" s="102"/>
      <c r="O27" s="100" t="s">
        <v>5</v>
      </c>
      <c r="P27" s="101"/>
      <c r="Q27" s="101"/>
      <c r="R27" s="102"/>
    </row>
    <row r="28" spans="1:21" ht="15.75" thickBot="1"/>
    <row r="29" spans="1:21" ht="20.25" customHeight="1">
      <c r="F29" s="106" t="s">
        <v>6</v>
      </c>
      <c r="G29" s="107"/>
      <c r="H29" s="108"/>
      <c r="I29" s="109" t="s">
        <v>11</v>
      </c>
      <c r="J29" s="110"/>
      <c r="K29" s="111"/>
      <c r="N29" s="106" t="s">
        <v>6</v>
      </c>
      <c r="O29" s="107"/>
      <c r="P29" s="108"/>
      <c r="Q29" s="109" t="s">
        <v>49</v>
      </c>
      <c r="R29" s="110"/>
      <c r="S29" s="111"/>
    </row>
    <row r="30" spans="1:21" ht="22.5" customHeight="1">
      <c r="F30" s="112" t="s">
        <v>7</v>
      </c>
      <c r="G30" s="113"/>
      <c r="H30" s="114"/>
      <c r="I30" s="115" t="s">
        <v>12</v>
      </c>
      <c r="J30" s="116"/>
      <c r="K30" s="117"/>
      <c r="N30" s="112" t="s">
        <v>10</v>
      </c>
      <c r="O30" s="113"/>
      <c r="P30" s="114"/>
      <c r="Q30" s="115" t="s">
        <v>48</v>
      </c>
      <c r="R30" s="116"/>
      <c r="S30" s="117"/>
    </row>
    <row r="31" spans="1:21" ht="24" customHeight="1">
      <c r="F31" s="112" t="s">
        <v>8</v>
      </c>
      <c r="G31" s="113"/>
      <c r="H31" s="114"/>
      <c r="I31" s="115" t="s">
        <v>13</v>
      </c>
      <c r="J31" s="116"/>
      <c r="K31" s="117"/>
      <c r="N31" s="112" t="s">
        <v>8</v>
      </c>
      <c r="O31" s="113"/>
      <c r="P31" s="114"/>
      <c r="Q31" s="115" t="s">
        <v>47</v>
      </c>
      <c r="R31" s="116"/>
      <c r="S31" s="117"/>
    </row>
    <row r="32" spans="1:21" ht="23.25" customHeight="1" thickBot="1">
      <c r="F32" s="103" t="s">
        <v>9</v>
      </c>
      <c r="G32" s="104"/>
      <c r="H32" s="105"/>
      <c r="I32" s="97" t="s">
        <v>14</v>
      </c>
      <c r="J32" s="98"/>
      <c r="K32" s="99"/>
      <c r="N32" s="103" t="s">
        <v>9</v>
      </c>
      <c r="O32" s="104"/>
      <c r="P32" s="105"/>
      <c r="Q32" s="97" t="s">
        <v>14</v>
      </c>
      <c r="R32" s="98"/>
      <c r="S32" s="99"/>
    </row>
    <row r="33" spans="1:14" ht="15.75" thickBot="1"/>
    <row r="34" spans="1:14">
      <c r="A34" s="79" t="s">
        <v>15</v>
      </c>
      <c r="B34" s="80"/>
      <c r="C34" s="80"/>
      <c r="D34" s="80"/>
      <c r="E34" s="81"/>
    </row>
    <row r="35" spans="1:14">
      <c r="A35" s="82"/>
      <c r="B35" s="83"/>
      <c r="C35" s="83"/>
      <c r="D35" s="83"/>
      <c r="E35" s="84"/>
    </row>
    <row r="36" spans="1:14" ht="15.75" thickBot="1">
      <c r="A36" s="85"/>
      <c r="B36" s="86"/>
      <c r="C36" s="86"/>
      <c r="D36" s="86"/>
      <c r="E36" s="87"/>
    </row>
    <row r="37" spans="1:14" ht="15.75" thickBot="1"/>
    <row r="38" spans="1:14" ht="15" customHeight="1" thickTop="1">
      <c r="G38" s="88" t="s">
        <v>16</v>
      </c>
      <c r="H38" s="89"/>
      <c r="I38" s="89"/>
      <c r="J38" s="89"/>
      <c r="K38" s="89"/>
      <c r="L38" s="89"/>
      <c r="M38" s="89"/>
      <c r="N38" s="90"/>
    </row>
    <row r="39" spans="1:14" ht="15" customHeight="1">
      <c r="G39" s="91"/>
      <c r="H39" s="92"/>
      <c r="I39" s="92"/>
      <c r="J39" s="92"/>
      <c r="K39" s="92"/>
      <c r="L39" s="92"/>
      <c r="M39" s="92"/>
      <c r="N39" s="93"/>
    </row>
    <row r="40" spans="1:14" ht="15.75" customHeight="1" thickBot="1">
      <c r="G40" s="94"/>
      <c r="H40" s="95"/>
      <c r="I40" s="95"/>
      <c r="J40" s="95"/>
      <c r="K40" s="95"/>
      <c r="L40" s="95"/>
      <c r="M40" s="95"/>
      <c r="N40" s="96"/>
    </row>
    <row r="41" spans="1:14" ht="15.75" thickTop="1"/>
  </sheetData>
  <sheetProtection sheet="1" objects="1" scenarios="1"/>
  <mergeCells count="22">
    <mergeCell ref="F29:H29"/>
    <mergeCell ref="F30:H30"/>
    <mergeCell ref="F31:H31"/>
    <mergeCell ref="I29:K29"/>
    <mergeCell ref="I30:K30"/>
    <mergeCell ref="I31:K31"/>
    <mergeCell ref="A1:S18"/>
    <mergeCell ref="A34:E36"/>
    <mergeCell ref="G38:N40"/>
    <mergeCell ref="I32:K32"/>
    <mergeCell ref="G27:J27"/>
    <mergeCell ref="O27:R27"/>
    <mergeCell ref="F32:H32"/>
    <mergeCell ref="N29:P29"/>
    <mergeCell ref="Q29:S29"/>
    <mergeCell ref="N30:P30"/>
    <mergeCell ref="Q30:S30"/>
    <mergeCell ref="N31:P31"/>
    <mergeCell ref="Q31:S31"/>
    <mergeCell ref="N32:P32"/>
    <mergeCell ref="Q32:S32"/>
    <mergeCell ref="A23:E2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FFFF"/>
  </sheetPr>
  <dimension ref="F1:M10"/>
  <sheetViews>
    <sheetView tabSelected="1" workbookViewId="0"/>
  </sheetViews>
  <sheetFormatPr defaultRowHeight="15"/>
  <sheetData>
    <row r="1" spans="6:13" ht="15.75" thickBot="1"/>
    <row r="2" spans="6:13" ht="15" customHeight="1" thickTop="1">
      <c r="F2" s="130" t="s">
        <v>0</v>
      </c>
      <c r="G2" s="131"/>
      <c r="H2" s="131"/>
      <c r="I2" s="131"/>
      <c r="J2" s="131"/>
      <c r="K2" s="131"/>
      <c r="L2" s="131"/>
      <c r="M2" s="132"/>
    </row>
    <row r="3" spans="6:13" ht="15" customHeight="1">
      <c r="F3" s="133"/>
      <c r="G3" s="134"/>
      <c r="H3" s="134"/>
      <c r="I3" s="134"/>
      <c r="J3" s="134"/>
      <c r="K3" s="134"/>
      <c r="L3" s="134"/>
      <c r="M3" s="135"/>
    </row>
    <row r="4" spans="6:13" ht="15.75" thickBot="1">
      <c r="F4" s="136"/>
      <c r="G4" s="137"/>
      <c r="H4" s="137"/>
      <c r="I4" s="137"/>
      <c r="J4" s="137"/>
      <c r="K4" s="137"/>
      <c r="L4" s="137"/>
      <c r="M4" s="138"/>
    </row>
    <row r="5" spans="6:13" ht="16.5" thickTop="1" thickBot="1"/>
    <row r="6" spans="6:13" ht="15.75" thickTop="1">
      <c r="G6" s="139" t="s">
        <v>1</v>
      </c>
      <c r="H6" s="140"/>
      <c r="I6" s="140"/>
      <c r="J6" s="140"/>
      <c r="K6" s="140"/>
      <c r="L6" s="141"/>
    </row>
    <row r="7" spans="6:13" ht="15.75" thickBot="1">
      <c r="G7" s="142"/>
      <c r="H7" s="143"/>
      <c r="I7" s="143"/>
      <c r="J7" s="143"/>
      <c r="K7" s="143"/>
      <c r="L7" s="144"/>
    </row>
    <row r="8" spans="6:13" ht="16.5" thickTop="1" thickBot="1"/>
    <row r="9" spans="6:13" ht="18.75" customHeight="1" thickTop="1" thickBot="1">
      <c r="H9" s="127" t="s">
        <v>2</v>
      </c>
      <c r="I9" s="128"/>
      <c r="J9" s="128"/>
      <c r="K9" s="129"/>
    </row>
    <row r="10" spans="6:13" ht="15.75" thickTop="1"/>
  </sheetData>
  <mergeCells count="3">
    <mergeCell ref="H9:K9"/>
    <mergeCell ref="F2:M4"/>
    <mergeCell ref="G6:L7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K29"/>
  <sheetViews>
    <sheetView zoomScaleNormal="100" workbookViewId="0"/>
  </sheetViews>
  <sheetFormatPr defaultRowHeight="15"/>
  <cols>
    <col min="5" max="5" width="12.42578125" customWidth="1"/>
    <col min="6" max="6" width="13.85546875" customWidth="1"/>
    <col min="7" max="7" width="15.7109375" customWidth="1"/>
    <col min="8" max="8" width="17.28515625" customWidth="1"/>
    <col min="9" max="9" width="16.140625" customWidth="1"/>
    <col min="10" max="10" width="17.7109375" customWidth="1"/>
    <col min="11" max="11" width="16.42578125" customWidth="1"/>
  </cols>
  <sheetData>
    <row r="1" spans="1:11" ht="15.75" thickBot="1">
      <c r="A1" s="28"/>
    </row>
    <row r="2" spans="1:11" ht="15.75" thickTop="1">
      <c r="F2" s="145"/>
      <c r="G2" s="146"/>
      <c r="H2" s="146"/>
      <c r="I2" s="147"/>
    </row>
    <row r="3" spans="1:11">
      <c r="F3" s="148"/>
      <c r="G3" s="149"/>
      <c r="H3" s="149"/>
      <c r="I3" s="150"/>
    </row>
    <row r="4" spans="1:11" ht="15.75" thickBot="1">
      <c r="F4" s="151"/>
      <c r="G4" s="152"/>
      <c r="H4" s="152"/>
      <c r="I4" s="153"/>
    </row>
    <row r="5" spans="1:11" ht="15.75" thickTop="1"/>
    <row r="12" spans="1:11" ht="15.75" thickBot="1"/>
    <row r="13" spans="1:11" ht="16.5" thickBot="1">
      <c r="E13" s="16" t="s">
        <v>17</v>
      </c>
      <c r="F13" s="17" t="s">
        <v>18</v>
      </c>
      <c r="G13" s="17" t="s">
        <v>19</v>
      </c>
      <c r="H13" s="17" t="s">
        <v>20</v>
      </c>
      <c r="I13" s="17" t="s">
        <v>21</v>
      </c>
      <c r="J13" s="17" t="s">
        <v>22</v>
      </c>
      <c r="K13" s="18" t="s">
        <v>23</v>
      </c>
    </row>
    <row r="14" spans="1:11">
      <c r="E14" s="30">
        <f>IF(F14="","",_xlfn.AGGREGATE(3,5,$F$14:F14))+100</f>
        <v>101</v>
      </c>
      <c r="F14" s="31">
        <v>2001</v>
      </c>
      <c r="G14" s="31" t="s">
        <v>24</v>
      </c>
      <c r="H14" s="31" t="s">
        <v>27</v>
      </c>
      <c r="I14" s="32">
        <v>55000</v>
      </c>
      <c r="J14" s="33">
        <v>0.11</v>
      </c>
      <c r="K14" s="34">
        <f>I14*J14+I14</f>
        <v>61050</v>
      </c>
    </row>
    <row r="15" spans="1:11">
      <c r="E15" s="35">
        <f>IF(F15="","",_xlfn.AGGREGATE(3,5,$F$14:F15))+100</f>
        <v>102</v>
      </c>
      <c r="F15" s="36">
        <v>2003</v>
      </c>
      <c r="G15" s="36" t="s">
        <v>26</v>
      </c>
      <c r="H15" s="36" t="s">
        <v>29</v>
      </c>
      <c r="I15" s="37">
        <v>75000</v>
      </c>
      <c r="J15" s="38">
        <v>0.05</v>
      </c>
      <c r="K15" s="34">
        <f t="shared" ref="K15:K23" si="0">I15*J15+I15</f>
        <v>78750</v>
      </c>
    </row>
    <row r="16" spans="1:11">
      <c r="E16" s="35">
        <f>IF(F16="","",_xlfn.AGGREGATE(3,5,$F$14:F16))+100</f>
        <v>103</v>
      </c>
      <c r="F16" s="36">
        <v>2004</v>
      </c>
      <c r="G16" s="36" t="s">
        <v>25</v>
      </c>
      <c r="H16" s="36" t="s">
        <v>34</v>
      </c>
      <c r="I16" s="37">
        <v>45000</v>
      </c>
      <c r="J16" s="38">
        <v>0.1</v>
      </c>
      <c r="K16" s="34">
        <f t="shared" si="0"/>
        <v>49500</v>
      </c>
    </row>
    <row r="17" spans="5:11">
      <c r="E17" s="35">
        <f>IF(F17="","",_xlfn.AGGREGATE(3,5,$F$14:F17))+100</f>
        <v>104</v>
      </c>
      <c r="F17" s="36">
        <v>2006</v>
      </c>
      <c r="G17" s="36" t="s">
        <v>24</v>
      </c>
      <c r="H17" s="36" t="s">
        <v>28</v>
      </c>
      <c r="I17" s="37">
        <v>65000</v>
      </c>
      <c r="J17" s="38">
        <v>0.08</v>
      </c>
      <c r="K17" s="34">
        <f t="shared" si="0"/>
        <v>70200</v>
      </c>
    </row>
    <row r="18" spans="5:11">
      <c r="E18" s="35">
        <f>IF(F18="","",_xlfn.AGGREGATE(3,5,$F$14:F18))+100</f>
        <v>105</v>
      </c>
      <c r="F18" s="36">
        <v>2007</v>
      </c>
      <c r="G18" s="36" t="s">
        <v>26</v>
      </c>
      <c r="H18" s="36" t="s">
        <v>35</v>
      </c>
      <c r="I18" s="37">
        <v>48000</v>
      </c>
      <c r="J18" s="38">
        <v>0.09</v>
      </c>
      <c r="K18" s="34">
        <f t="shared" si="0"/>
        <v>52320</v>
      </c>
    </row>
    <row r="19" spans="5:11">
      <c r="E19" s="35" t="e">
        <f>IF(F19="","",_xlfn.AGGREGATE(3,5,$F$14:F19))+100</f>
        <v>#VALUE!</v>
      </c>
      <c r="F19" s="36"/>
      <c r="G19" s="36"/>
      <c r="H19" s="36"/>
      <c r="I19" s="37"/>
      <c r="J19" s="38"/>
      <c r="K19" s="34">
        <f t="shared" si="0"/>
        <v>0</v>
      </c>
    </row>
    <row r="20" spans="5:11">
      <c r="E20" s="35" t="e">
        <f>IF(F20="","",_xlfn.AGGREGATE(3,5,$F$14:F20))+100</f>
        <v>#VALUE!</v>
      </c>
      <c r="F20" s="36"/>
      <c r="G20" s="36"/>
      <c r="H20" s="36"/>
      <c r="I20" s="37"/>
      <c r="J20" s="38"/>
      <c r="K20" s="34">
        <f t="shared" si="0"/>
        <v>0</v>
      </c>
    </row>
    <row r="21" spans="5:11">
      <c r="E21" s="35" t="e">
        <f>IF(F21="","",_xlfn.AGGREGATE(3,5,$F$14:F21))+100</f>
        <v>#VALUE!</v>
      </c>
      <c r="F21" s="36"/>
      <c r="G21" s="36"/>
      <c r="H21" s="36"/>
      <c r="I21" s="37"/>
      <c r="J21" s="38"/>
      <c r="K21" s="34">
        <f t="shared" si="0"/>
        <v>0</v>
      </c>
    </row>
    <row r="22" spans="5:11">
      <c r="E22" s="35" t="e">
        <f>IF(F22="","",_xlfn.AGGREGATE(3,5,$F$14:F22))+100</f>
        <v>#VALUE!</v>
      </c>
      <c r="F22" s="36"/>
      <c r="G22" s="36"/>
      <c r="H22" s="36"/>
      <c r="I22" s="37"/>
      <c r="J22" s="38"/>
      <c r="K22" s="34">
        <f t="shared" si="0"/>
        <v>0</v>
      </c>
    </row>
    <row r="23" spans="5:11" ht="15.75" thickBot="1">
      <c r="E23" s="39" t="e">
        <f>IF(F23="","",_xlfn.AGGREGATE(3,5,$F$14:F23))+100</f>
        <v>#VALUE!</v>
      </c>
      <c r="F23" s="40"/>
      <c r="G23" s="40"/>
      <c r="H23" s="40"/>
      <c r="I23" s="41"/>
      <c r="J23" s="42"/>
      <c r="K23" s="34">
        <f t="shared" si="0"/>
        <v>0</v>
      </c>
    </row>
    <row r="24" spans="5:11">
      <c r="F24" s="5"/>
      <c r="G24" s="5"/>
      <c r="H24" s="5"/>
      <c r="I24" s="6"/>
      <c r="J24" s="7"/>
      <c r="K24" s="8"/>
    </row>
    <row r="25" spans="5:11">
      <c r="F25" s="5"/>
      <c r="G25" s="5"/>
      <c r="H25" s="5"/>
      <c r="I25" s="6"/>
      <c r="J25" s="7"/>
      <c r="K25" s="8"/>
    </row>
    <row r="26" spans="5:11">
      <c r="F26" s="5"/>
      <c r="G26" s="5"/>
      <c r="H26" s="5"/>
      <c r="I26" s="6"/>
      <c r="J26" s="7"/>
      <c r="K26" s="8"/>
    </row>
    <row r="27" spans="5:11">
      <c r="F27" s="5"/>
      <c r="G27" s="5"/>
      <c r="H27" s="5"/>
      <c r="I27" s="6"/>
      <c r="J27" s="7"/>
      <c r="K27" s="8"/>
    </row>
    <row r="28" spans="5:11">
      <c r="F28" s="5"/>
      <c r="G28" s="5"/>
      <c r="H28" s="5"/>
      <c r="I28" s="6"/>
      <c r="J28" s="7"/>
      <c r="K28" s="8"/>
    </row>
    <row r="29" spans="5:11">
      <c r="F29" s="5"/>
      <c r="G29" s="5"/>
      <c r="H29" s="5"/>
      <c r="I29" s="6"/>
      <c r="J29" s="7"/>
      <c r="K29" s="8"/>
    </row>
  </sheetData>
  <mergeCells count="1">
    <mergeCell ref="F2:I4"/>
  </mergeCells>
  <dataValidations count="1">
    <dataValidation type="list" allowBlank="1" showInputMessage="1" showErrorMessage="1" sqref="G14:G23">
      <formula1>"RED,GRAY,BLACK"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99CC"/>
  </sheetPr>
  <dimension ref="E1:M29"/>
  <sheetViews>
    <sheetView workbookViewId="0"/>
  </sheetViews>
  <sheetFormatPr defaultRowHeight="15"/>
  <cols>
    <col min="3" max="3" width="9.140625" customWidth="1"/>
    <col min="4" max="4" width="8.85546875" customWidth="1"/>
    <col min="5" max="5" width="13.85546875" customWidth="1"/>
    <col min="6" max="6" width="16.5703125" customWidth="1"/>
    <col min="7" max="7" width="16.140625" customWidth="1"/>
    <col min="8" max="8" width="15.5703125" customWidth="1"/>
    <col min="9" max="9" width="25.28515625" customWidth="1"/>
    <col min="10" max="10" width="15" customWidth="1"/>
    <col min="11" max="11" width="16.42578125" customWidth="1"/>
    <col min="12" max="12" width="10.140625" customWidth="1"/>
    <col min="13" max="13" width="18.42578125" customWidth="1"/>
  </cols>
  <sheetData>
    <row r="1" spans="5:13" ht="15.75" thickBot="1"/>
    <row r="2" spans="5:13" ht="15" customHeight="1" thickTop="1">
      <c r="F2" s="154"/>
      <c r="G2" s="155"/>
      <c r="H2" s="155"/>
      <c r="I2" s="156"/>
    </row>
    <row r="3" spans="5:13" ht="15" customHeight="1">
      <c r="F3" s="157"/>
      <c r="G3" s="158"/>
      <c r="H3" s="158"/>
      <c r="I3" s="159"/>
    </row>
    <row r="4" spans="5:13" ht="15.75" customHeight="1" thickBot="1">
      <c r="F4" s="160"/>
      <c r="G4" s="161"/>
      <c r="H4" s="161"/>
      <c r="I4" s="162"/>
    </row>
    <row r="5" spans="5:13" ht="15.75" thickTop="1">
      <c r="I5" s="5"/>
    </row>
    <row r="12" spans="5:13" ht="15.75" thickBot="1"/>
    <row r="13" spans="5:13" ht="16.5" thickBot="1">
      <c r="E13" s="16" t="s">
        <v>30</v>
      </c>
      <c r="F13" s="17" t="s">
        <v>31</v>
      </c>
      <c r="G13" s="17" t="s">
        <v>17</v>
      </c>
      <c r="H13" s="17" t="s">
        <v>18</v>
      </c>
      <c r="I13" s="17" t="s">
        <v>19</v>
      </c>
      <c r="J13" s="17" t="s">
        <v>20</v>
      </c>
      <c r="K13" s="17" t="s">
        <v>21</v>
      </c>
      <c r="L13" s="17" t="s">
        <v>32</v>
      </c>
      <c r="M13" s="18" t="s">
        <v>33</v>
      </c>
    </row>
    <row r="14" spans="5:13">
      <c r="E14" s="30">
        <f>IF(F14="","",_xlfn.AGGREGATE(3,5,$F$14:F14))+300</f>
        <v>301</v>
      </c>
      <c r="F14" s="43">
        <v>44200</v>
      </c>
      <c r="G14" s="31">
        <v>101</v>
      </c>
      <c r="H14" s="31">
        <f>VLOOKUP(G14,'BIKE Information'!E13:K29,2,FALSE)</f>
        <v>2001</v>
      </c>
      <c r="I14" s="44" t="str">
        <f>VLOOKUP(G14,'BIKE Information'!E13:K23,3,FALSE)</f>
        <v>RED</v>
      </c>
      <c r="J14" s="31" t="str">
        <f>VLOOKUP(G14,'BIKE Information'!E13:K29,4,FALSE)</f>
        <v>HONDA</v>
      </c>
      <c r="K14" s="45">
        <f>VLOOKUP(G14,'BIKE Information'!E13:K29,5,FALSE)</f>
        <v>55000</v>
      </c>
      <c r="L14" s="31">
        <v>31</v>
      </c>
      <c r="M14" s="46">
        <f>PRODUCT(K14,L14)</f>
        <v>1705000</v>
      </c>
    </row>
    <row r="15" spans="5:13">
      <c r="E15" s="35">
        <f>IF(F15="","",_xlfn.AGGREGATE(3,5,$F$14:F15))+300</f>
        <v>302</v>
      </c>
      <c r="F15" s="47">
        <v>44201</v>
      </c>
      <c r="G15" s="36">
        <v>102</v>
      </c>
      <c r="H15" s="36">
        <f>VLOOKUP(G15,'BIKE Information'!E14:K30,2,FALSE)</f>
        <v>2003</v>
      </c>
      <c r="I15" s="48" t="str">
        <f>VLOOKUP(G15,'BIKE Information'!E14:K24,3,FALSE)</f>
        <v>GRAY</v>
      </c>
      <c r="J15" s="36" t="str">
        <f>VLOOKUP(G15,'BIKE Information'!E14:K30,4,FALSE)</f>
        <v>KAWASAKI</v>
      </c>
      <c r="K15" s="49">
        <f>VLOOKUP(G15,'BIKE Information'!E14:K30,5,FALSE)</f>
        <v>75000</v>
      </c>
      <c r="L15" s="36">
        <v>11</v>
      </c>
      <c r="M15" s="50">
        <f t="shared" ref="M15:M23" si="0">PRODUCT(K15,L15)</f>
        <v>825000</v>
      </c>
    </row>
    <row r="16" spans="5:13">
      <c r="E16" s="35">
        <f>IF(F16="","",_xlfn.AGGREGATE(3,5,$F$14:F16))+300</f>
        <v>303</v>
      </c>
      <c r="F16" s="47">
        <v>44202</v>
      </c>
      <c r="G16" s="36">
        <v>103</v>
      </c>
      <c r="H16" s="36">
        <f>VLOOKUP(G16,'BIKE Information'!E15:K31,2,FALSE)</f>
        <v>2004</v>
      </c>
      <c r="I16" s="48" t="str">
        <f>VLOOKUP(G16,'BIKE Information'!E15:K25,3,FALSE)</f>
        <v>BLACK</v>
      </c>
      <c r="J16" s="36" t="str">
        <f>VLOOKUP(G16,'BIKE Information'!E15:K31,4,FALSE)</f>
        <v>UNITED</v>
      </c>
      <c r="K16" s="49">
        <f>VLOOKUP(G16,'BIKE Information'!E15:K31,5,FALSE)</f>
        <v>45000</v>
      </c>
      <c r="L16" s="36">
        <v>35</v>
      </c>
      <c r="M16" s="50">
        <f t="shared" si="0"/>
        <v>1575000</v>
      </c>
    </row>
    <row r="17" spans="5:13">
      <c r="E17" s="35">
        <f>IF(F17="","",_xlfn.AGGREGATE(3,5,$F$14:F17))+300</f>
        <v>304</v>
      </c>
      <c r="F17" s="47">
        <v>44203</v>
      </c>
      <c r="G17" s="36">
        <v>104</v>
      </c>
      <c r="H17" s="36">
        <f>VLOOKUP(G17,'BIKE Information'!E16:K32,2,FALSE)</f>
        <v>2006</v>
      </c>
      <c r="I17" s="48" t="str">
        <f>VLOOKUP(G17,'BIKE Information'!E16:K26,3,FALSE)</f>
        <v>RED</v>
      </c>
      <c r="J17" s="36" t="str">
        <f>VLOOKUP(G17,'BIKE Information'!E16:K32,4,FALSE)</f>
        <v>SUZUKI</v>
      </c>
      <c r="K17" s="49">
        <f>VLOOKUP(G17,'BIKE Information'!E16:K32,5,FALSE)</f>
        <v>65000</v>
      </c>
      <c r="L17" s="36">
        <v>19</v>
      </c>
      <c r="M17" s="50">
        <f t="shared" si="0"/>
        <v>1235000</v>
      </c>
    </row>
    <row r="18" spans="5:13">
      <c r="E18" s="35">
        <f>IF(F18="","",_xlfn.AGGREGATE(3,5,$F$14:F18))+300</f>
        <v>305</v>
      </c>
      <c r="F18" s="47">
        <v>44207</v>
      </c>
      <c r="G18" s="36">
        <v>105</v>
      </c>
      <c r="H18" s="36">
        <f>VLOOKUP(G18,'BIKE Information'!E17:K33,2,FALSE)</f>
        <v>2007</v>
      </c>
      <c r="I18" s="48" t="str">
        <f>VLOOKUP(G18,'BIKE Information'!E17:K27,3,FALSE)</f>
        <v>GRAY</v>
      </c>
      <c r="J18" s="36" t="str">
        <f>VLOOKUP(G18,'BIKE Information'!E17:K33,4,FALSE)</f>
        <v>SOHRAB</v>
      </c>
      <c r="K18" s="49">
        <f>VLOOKUP(G18,'BIKE Information'!E17:K33,5,FALSE)</f>
        <v>48000</v>
      </c>
      <c r="L18" s="36">
        <v>23</v>
      </c>
      <c r="M18" s="50">
        <f t="shared" si="0"/>
        <v>1104000</v>
      </c>
    </row>
    <row r="19" spans="5:13">
      <c r="E19" s="35" t="e">
        <f>IF(F19="","",_xlfn.AGGREGATE(3,5,$F$14:F19))+300</f>
        <v>#VALUE!</v>
      </c>
      <c r="F19" s="47"/>
      <c r="G19" s="36" t="e">
        <v>#VALUE!</v>
      </c>
      <c r="H19" s="36" t="e">
        <f>VLOOKUP(G19,'BIKE Information'!E18:K34,2,FALSE)</f>
        <v>#VALUE!</v>
      </c>
      <c r="I19" s="48" t="e">
        <f>VLOOKUP(G19,'BIKE Information'!E18:K28,3,FALSE)</f>
        <v>#VALUE!</v>
      </c>
      <c r="J19" s="36" t="e">
        <f>VLOOKUP(G19,'BIKE Information'!E18:K34,4,FALSE)</f>
        <v>#VALUE!</v>
      </c>
      <c r="K19" s="49" t="e">
        <f>VLOOKUP(G19,'BIKE Information'!E18:K34,5,FALSE)</f>
        <v>#VALUE!</v>
      </c>
      <c r="L19" s="36"/>
      <c r="M19" s="50" t="e">
        <f t="shared" si="0"/>
        <v>#VALUE!</v>
      </c>
    </row>
    <row r="20" spans="5:13">
      <c r="E20" s="35" t="e">
        <f>IF(F20="","",_xlfn.AGGREGATE(3,5,$F$14:F20))+300</f>
        <v>#VALUE!</v>
      </c>
      <c r="F20" s="47"/>
      <c r="G20" s="36" t="e">
        <v>#VALUE!</v>
      </c>
      <c r="H20" s="36" t="e">
        <f>VLOOKUP(G20,'BIKE Information'!E19:K35,2,FALSE)</f>
        <v>#VALUE!</v>
      </c>
      <c r="I20" s="48" t="e">
        <f>VLOOKUP(G20,'BIKE Information'!E19:K29,3,FALSE)</f>
        <v>#VALUE!</v>
      </c>
      <c r="J20" s="36" t="e">
        <f>VLOOKUP(G20,'BIKE Information'!E19:K35,4,FALSE)</f>
        <v>#VALUE!</v>
      </c>
      <c r="K20" s="49" t="e">
        <f>VLOOKUP(G20,'BIKE Information'!E19:K35,5,FALSE)</f>
        <v>#VALUE!</v>
      </c>
      <c r="L20" s="36"/>
      <c r="M20" s="50" t="e">
        <f t="shared" si="0"/>
        <v>#VALUE!</v>
      </c>
    </row>
    <row r="21" spans="5:13">
      <c r="E21" s="35" t="e">
        <f>IF(F21="","",_xlfn.AGGREGATE(3,5,$F$14:F21))+300</f>
        <v>#VALUE!</v>
      </c>
      <c r="F21" s="47"/>
      <c r="G21" s="36" t="e">
        <v>#VALUE!</v>
      </c>
      <c r="H21" s="36" t="e">
        <f>VLOOKUP(G21,'BIKE Information'!E20:K36,2,FALSE)</f>
        <v>#VALUE!</v>
      </c>
      <c r="I21" s="48" t="e">
        <f>VLOOKUP(G21,'BIKE Information'!E20:K30,3,FALSE)</f>
        <v>#VALUE!</v>
      </c>
      <c r="J21" s="36" t="e">
        <f>VLOOKUP(G21,'BIKE Information'!E20:K36,4,FALSE)</f>
        <v>#VALUE!</v>
      </c>
      <c r="K21" s="49" t="e">
        <f>VLOOKUP(G21,'BIKE Information'!E20:K36,5,FALSE)</f>
        <v>#VALUE!</v>
      </c>
      <c r="L21" s="36"/>
      <c r="M21" s="50" t="e">
        <f t="shared" si="0"/>
        <v>#VALUE!</v>
      </c>
    </row>
    <row r="22" spans="5:13">
      <c r="E22" s="35" t="e">
        <f>IF(F22="","",_xlfn.AGGREGATE(3,5,$F$14:F22))+300</f>
        <v>#VALUE!</v>
      </c>
      <c r="F22" s="47"/>
      <c r="G22" s="36" t="e">
        <v>#VALUE!</v>
      </c>
      <c r="H22" s="36" t="e">
        <f>VLOOKUP(G22,'BIKE Information'!E21:K37,2,FALSE)</f>
        <v>#VALUE!</v>
      </c>
      <c r="I22" s="48" t="e">
        <f>VLOOKUP(G22,'BIKE Information'!E21:K31,3,FALSE)</f>
        <v>#VALUE!</v>
      </c>
      <c r="J22" s="36" t="e">
        <f>VLOOKUP(G22,'BIKE Information'!E21:K37,4,FALSE)</f>
        <v>#VALUE!</v>
      </c>
      <c r="K22" s="49" t="e">
        <f>VLOOKUP(G22,'BIKE Information'!E21:K37,5,FALSE)</f>
        <v>#VALUE!</v>
      </c>
      <c r="L22" s="36"/>
      <c r="M22" s="50" t="e">
        <f t="shared" si="0"/>
        <v>#VALUE!</v>
      </c>
    </row>
    <row r="23" spans="5:13" ht="15.75" thickBot="1">
      <c r="E23" s="39" t="e">
        <f>IF(F23="","",_xlfn.AGGREGATE(3,5,$F$14:F23))+300</f>
        <v>#VALUE!</v>
      </c>
      <c r="F23" s="51"/>
      <c r="G23" s="40" t="e">
        <v>#VALUE!</v>
      </c>
      <c r="H23" s="40" t="e">
        <f>VLOOKUP(G23,'BIKE Information'!E22:K38,2,FALSE)</f>
        <v>#VALUE!</v>
      </c>
      <c r="I23" s="52" t="e">
        <f>VLOOKUP(G23,'BIKE Information'!E22:K32,3,FALSE)</f>
        <v>#VALUE!</v>
      </c>
      <c r="J23" s="40" t="e">
        <f>VLOOKUP(G23,'BIKE Information'!E22:K38,4,FALSE)</f>
        <v>#VALUE!</v>
      </c>
      <c r="K23" s="53" t="e">
        <f>VLOOKUP(G23,'BIKE Information'!E22:K38,5,FALSE)</f>
        <v>#VALUE!</v>
      </c>
      <c r="L23" s="40"/>
      <c r="M23" s="54" t="e">
        <f t="shared" si="0"/>
        <v>#VALUE!</v>
      </c>
    </row>
    <row r="24" spans="5:13">
      <c r="E24" s="5"/>
      <c r="F24" s="9"/>
      <c r="G24" s="5"/>
      <c r="H24" s="5"/>
      <c r="I24" s="7"/>
      <c r="J24" s="5"/>
      <c r="K24" s="10"/>
      <c r="L24" s="5"/>
      <c r="M24" s="11"/>
    </row>
    <row r="25" spans="5:13">
      <c r="E25" s="5"/>
      <c r="F25" s="9"/>
      <c r="G25" s="5"/>
      <c r="H25" s="5"/>
      <c r="I25" s="7"/>
      <c r="J25" s="5"/>
      <c r="K25" s="10"/>
      <c r="L25" s="5"/>
      <c r="M25" s="11"/>
    </row>
    <row r="26" spans="5:13">
      <c r="E26" s="5"/>
      <c r="F26" s="9"/>
      <c r="G26" s="5"/>
      <c r="H26" s="5"/>
      <c r="I26" s="7"/>
      <c r="J26" s="5"/>
      <c r="K26" s="10"/>
      <c r="L26" s="5"/>
      <c r="M26" s="11"/>
    </row>
    <row r="27" spans="5:13">
      <c r="E27" s="5"/>
      <c r="F27" s="9"/>
      <c r="G27" s="5"/>
      <c r="H27" s="5"/>
      <c r="I27" s="7"/>
      <c r="J27" s="5"/>
      <c r="K27" s="10"/>
      <c r="L27" s="5"/>
      <c r="M27" s="11"/>
    </row>
    <row r="28" spans="5:13">
      <c r="E28" s="5"/>
      <c r="F28" s="9"/>
      <c r="G28" s="5"/>
      <c r="H28" s="5"/>
      <c r="I28" s="7"/>
      <c r="J28" s="5"/>
      <c r="K28" s="10"/>
      <c r="L28" s="5"/>
      <c r="M28" s="11"/>
    </row>
    <row r="29" spans="5:13">
      <c r="E29" s="5"/>
      <c r="F29" s="9"/>
      <c r="G29" s="5"/>
      <c r="H29" s="5"/>
      <c r="I29" s="7"/>
      <c r="J29" s="5"/>
      <c r="K29" s="10"/>
      <c r="L29" s="5"/>
      <c r="M29" s="11"/>
    </row>
  </sheetData>
  <mergeCells count="1">
    <mergeCell ref="F2:I4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'BIKE Information'!$E$14:$E$29</xm:f>
          </x14:formula1>
          <xm:sqref>G24:G29</xm:sqref>
        </x14:dataValidation>
        <x14:dataValidation type="list" allowBlank="1" showInputMessage="1" showErrorMessage="1">
          <x14:formula1>
            <xm:f>'BIKE Information'!$E$14:$E$29</xm:f>
          </x14:formula1>
          <xm:sqref>G14:G23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CC99FF"/>
  </sheetPr>
  <dimension ref="E1:M22"/>
  <sheetViews>
    <sheetView workbookViewId="0"/>
  </sheetViews>
  <sheetFormatPr defaultRowHeight="15"/>
  <cols>
    <col min="1" max="4" width="9.140625" style="12"/>
    <col min="5" max="5" width="14.42578125" style="12" customWidth="1"/>
    <col min="6" max="6" width="16.5703125" style="12" customWidth="1"/>
    <col min="7" max="7" width="15" style="12" customWidth="1"/>
    <col min="8" max="10" width="16.85546875" style="12" customWidth="1"/>
    <col min="11" max="11" width="13.28515625" style="12" customWidth="1"/>
    <col min="12" max="12" width="13" style="12" customWidth="1"/>
    <col min="13" max="13" width="16" style="12" customWidth="1"/>
    <col min="14" max="16384" width="9.140625" style="12"/>
  </cols>
  <sheetData>
    <row r="1" spans="5:13" ht="15.75" thickBot="1"/>
    <row r="2" spans="5:13" ht="15.75" thickTop="1">
      <c r="F2" s="145"/>
      <c r="G2" s="146"/>
      <c r="H2" s="146"/>
      <c r="I2" s="147"/>
    </row>
    <row r="3" spans="5:13">
      <c r="F3" s="148"/>
      <c r="G3" s="149"/>
      <c r="H3" s="149"/>
      <c r="I3" s="150"/>
    </row>
    <row r="4" spans="5:13" ht="15.75" thickBot="1">
      <c r="F4" s="151"/>
      <c r="G4" s="152"/>
      <c r="H4" s="152"/>
      <c r="I4" s="153"/>
    </row>
    <row r="5" spans="5:13" ht="15.75" thickTop="1"/>
    <row r="11" spans="5:13" ht="15.75" thickBot="1"/>
    <row r="12" spans="5:13" ht="16.5" thickBot="1">
      <c r="E12" s="16" t="s">
        <v>36</v>
      </c>
      <c r="F12" s="17" t="s">
        <v>37</v>
      </c>
      <c r="G12" s="17" t="s">
        <v>17</v>
      </c>
      <c r="H12" s="17" t="s">
        <v>18</v>
      </c>
      <c r="I12" s="17" t="s">
        <v>19</v>
      </c>
      <c r="J12" s="17" t="s">
        <v>20</v>
      </c>
      <c r="K12" s="17" t="s">
        <v>23</v>
      </c>
      <c r="L12" s="17" t="s">
        <v>32</v>
      </c>
      <c r="M12" s="18" t="s">
        <v>33</v>
      </c>
    </row>
    <row r="13" spans="5:13">
      <c r="E13" s="30">
        <f>IF(F13="","",_xlfn.AGGREGATE(3,5,$F$13:F13))+500</f>
        <v>501</v>
      </c>
      <c r="F13" s="43">
        <v>44228</v>
      </c>
      <c r="G13" s="31">
        <v>101</v>
      </c>
      <c r="H13" s="31">
        <f>VLOOKUP(G13,'BIKE Information'!E13:K23,2,FALSE)</f>
        <v>2001</v>
      </c>
      <c r="I13" s="31" t="str">
        <f>VLOOKUP(G13,'BIKE Information'!E13:K23,3,FALSE)</f>
        <v>RED</v>
      </c>
      <c r="J13" s="31" t="str">
        <f>VLOOKUP(G13,'BIKE Information'!E13:K23,4,FALSE)</f>
        <v>HONDA</v>
      </c>
      <c r="K13" s="55">
        <f>VLOOKUP(G13,'BIKE Information'!E13:K23,7,FALSE)</f>
        <v>61050</v>
      </c>
      <c r="L13" s="31">
        <v>12</v>
      </c>
      <c r="M13" s="34">
        <f>PRODUCT(K13,L13)</f>
        <v>732600</v>
      </c>
    </row>
    <row r="14" spans="5:13">
      <c r="E14" s="35">
        <f>IF(F14="","",_xlfn.AGGREGATE(3,5,$F$13:F14))+500</f>
        <v>502</v>
      </c>
      <c r="F14" s="47">
        <v>44229</v>
      </c>
      <c r="G14" s="36">
        <v>102</v>
      </c>
      <c r="H14" s="36">
        <f>VLOOKUP(G14,'BIKE Information'!E14:K24,2,FALSE)</f>
        <v>2003</v>
      </c>
      <c r="I14" s="36" t="str">
        <f>VLOOKUP(G14,'BIKE Information'!E14:K24,3,FALSE)</f>
        <v>GRAY</v>
      </c>
      <c r="J14" s="36" t="str">
        <f>VLOOKUP(G14,'BIKE Information'!E14:K24,4,FALSE)</f>
        <v>KAWASAKI</v>
      </c>
      <c r="K14" s="56">
        <f>VLOOKUP(G14,'BIKE Information'!E14:K24,7,FALSE)</f>
        <v>78750</v>
      </c>
      <c r="L14" s="36">
        <v>3</v>
      </c>
      <c r="M14" s="57">
        <f t="shared" ref="M14:M22" si="0">PRODUCT(K14,L14)</f>
        <v>236250</v>
      </c>
    </row>
    <row r="15" spans="5:13">
      <c r="E15" s="35">
        <f>IF(F15="","",_xlfn.AGGREGATE(3,5,$F$13:F15))+500</f>
        <v>503</v>
      </c>
      <c r="F15" s="47">
        <v>44230</v>
      </c>
      <c r="G15" s="36">
        <v>103</v>
      </c>
      <c r="H15" s="36">
        <f>VLOOKUP(G15,'BIKE Information'!E15:K25,2,FALSE)</f>
        <v>2004</v>
      </c>
      <c r="I15" s="36" t="str">
        <f>VLOOKUP(G15,'BIKE Information'!E15:K25,3,FALSE)</f>
        <v>BLACK</v>
      </c>
      <c r="J15" s="36" t="str">
        <f>VLOOKUP(G15,'BIKE Information'!E15:K25,4,FALSE)</f>
        <v>UNITED</v>
      </c>
      <c r="K15" s="56">
        <f>VLOOKUP(G15,'BIKE Information'!E15:K25,7,FALSE)</f>
        <v>49500</v>
      </c>
      <c r="L15" s="36">
        <v>22</v>
      </c>
      <c r="M15" s="57">
        <f t="shared" si="0"/>
        <v>1089000</v>
      </c>
    </row>
    <row r="16" spans="5:13">
      <c r="E16" s="35">
        <f>IF(F16="","",_xlfn.AGGREGATE(3,5,$F$13:F16))+500</f>
        <v>504</v>
      </c>
      <c r="F16" s="47">
        <v>44231</v>
      </c>
      <c r="G16" s="36">
        <v>104</v>
      </c>
      <c r="H16" s="36">
        <f>VLOOKUP(G16,'BIKE Information'!E16:K26,2,FALSE)</f>
        <v>2006</v>
      </c>
      <c r="I16" s="36" t="str">
        <f>VLOOKUP(G16,'BIKE Information'!E16:K26,3,FALSE)</f>
        <v>RED</v>
      </c>
      <c r="J16" s="36" t="str">
        <f>VLOOKUP(G16,'BIKE Information'!E16:K26,4,FALSE)</f>
        <v>SUZUKI</v>
      </c>
      <c r="K16" s="56">
        <f>VLOOKUP(G16,'BIKE Information'!E16:K26,7,FALSE)</f>
        <v>70200</v>
      </c>
      <c r="L16" s="36">
        <v>9</v>
      </c>
      <c r="M16" s="57">
        <f t="shared" si="0"/>
        <v>631800</v>
      </c>
    </row>
    <row r="17" spans="5:13">
      <c r="E17" s="35">
        <f>IF(F17="","",_xlfn.AGGREGATE(3,5,$F$13:F17))+500</f>
        <v>505</v>
      </c>
      <c r="F17" s="47">
        <v>44240</v>
      </c>
      <c r="G17" s="36">
        <v>105</v>
      </c>
      <c r="H17" s="36">
        <f>VLOOKUP(G17,'BIKE Information'!E17:K27,2,FALSE)</f>
        <v>2007</v>
      </c>
      <c r="I17" s="36" t="str">
        <f>VLOOKUP(G17,'BIKE Information'!E17:K27,3,FALSE)</f>
        <v>GRAY</v>
      </c>
      <c r="J17" s="36" t="str">
        <f>VLOOKUP(G17,'BIKE Information'!E17:K27,4,FALSE)</f>
        <v>SOHRAB</v>
      </c>
      <c r="K17" s="56">
        <f>VLOOKUP(G17,'BIKE Information'!E17:K27,7,FALSE)</f>
        <v>52320</v>
      </c>
      <c r="L17" s="36">
        <v>14</v>
      </c>
      <c r="M17" s="57">
        <f t="shared" si="0"/>
        <v>732480</v>
      </c>
    </row>
    <row r="18" spans="5:13">
      <c r="E18" s="35" t="e">
        <f>IF(F18="","",_xlfn.AGGREGATE(3,5,$F$13:F18))+500</f>
        <v>#VALUE!</v>
      </c>
      <c r="F18" s="47"/>
      <c r="G18" s="36" t="e">
        <v>#VALUE!</v>
      </c>
      <c r="H18" s="36" t="e">
        <f>VLOOKUP(G18,'BIKE Information'!E18:K28,2,FALSE)</f>
        <v>#VALUE!</v>
      </c>
      <c r="I18" s="36" t="e">
        <f>VLOOKUP(G18,'BIKE Information'!E18:K28,3,FALSE)</f>
        <v>#VALUE!</v>
      </c>
      <c r="J18" s="36" t="e">
        <f>VLOOKUP(G18,'BIKE Information'!E18:K28,4,FALSE)</f>
        <v>#VALUE!</v>
      </c>
      <c r="K18" s="56" t="e">
        <f>VLOOKUP(G18,'BIKE Information'!E18:K28,7,FALSE)</f>
        <v>#VALUE!</v>
      </c>
      <c r="L18" s="36"/>
      <c r="M18" s="57" t="e">
        <f t="shared" si="0"/>
        <v>#VALUE!</v>
      </c>
    </row>
    <row r="19" spans="5:13">
      <c r="E19" s="35" t="e">
        <f>IF(F19="","",_xlfn.AGGREGATE(3,5,$F$13:F19))+500</f>
        <v>#VALUE!</v>
      </c>
      <c r="F19" s="47"/>
      <c r="G19" s="36" t="e">
        <v>#VALUE!</v>
      </c>
      <c r="H19" s="36" t="e">
        <f>VLOOKUP(G19,'BIKE Information'!E19:K29,2,FALSE)</f>
        <v>#VALUE!</v>
      </c>
      <c r="I19" s="36" t="e">
        <f>VLOOKUP(G19,'BIKE Information'!E19:K29,3,FALSE)</f>
        <v>#VALUE!</v>
      </c>
      <c r="J19" s="36" t="e">
        <f>VLOOKUP(G19,'BIKE Information'!E19:K29,4,FALSE)</f>
        <v>#VALUE!</v>
      </c>
      <c r="K19" s="56" t="e">
        <f>VLOOKUP(G19,'BIKE Information'!E19:K29,7,FALSE)</f>
        <v>#VALUE!</v>
      </c>
      <c r="L19" s="36"/>
      <c r="M19" s="57" t="e">
        <f t="shared" si="0"/>
        <v>#VALUE!</v>
      </c>
    </row>
    <row r="20" spans="5:13">
      <c r="E20" s="35" t="e">
        <f>IF(F20="","",_xlfn.AGGREGATE(3,5,$F$13:F20))+500</f>
        <v>#VALUE!</v>
      </c>
      <c r="F20" s="47"/>
      <c r="G20" s="36" t="e">
        <v>#VALUE!</v>
      </c>
      <c r="H20" s="36" t="e">
        <f>VLOOKUP(G20,'BIKE Information'!E20:K30,2,FALSE)</f>
        <v>#VALUE!</v>
      </c>
      <c r="I20" s="36" t="e">
        <f>VLOOKUP(G20,'BIKE Information'!E20:K30,3,FALSE)</f>
        <v>#VALUE!</v>
      </c>
      <c r="J20" s="36" t="e">
        <f>VLOOKUP(G20,'BIKE Information'!E20:K30,4,FALSE)</f>
        <v>#VALUE!</v>
      </c>
      <c r="K20" s="56" t="e">
        <f>VLOOKUP(G20,'BIKE Information'!E20:K30,7,FALSE)</f>
        <v>#VALUE!</v>
      </c>
      <c r="L20" s="36"/>
      <c r="M20" s="57" t="e">
        <f t="shared" si="0"/>
        <v>#VALUE!</v>
      </c>
    </row>
    <row r="21" spans="5:13">
      <c r="E21" s="35" t="e">
        <f>IF(F21="","",_xlfn.AGGREGATE(3,5,$F$13:F21))+500</f>
        <v>#VALUE!</v>
      </c>
      <c r="F21" s="47"/>
      <c r="G21" s="36" t="e">
        <v>#VALUE!</v>
      </c>
      <c r="H21" s="36" t="e">
        <f>VLOOKUP(G21,'BIKE Information'!E21:K31,2,FALSE)</f>
        <v>#VALUE!</v>
      </c>
      <c r="I21" s="36" t="e">
        <f>VLOOKUP(G21,'BIKE Information'!E21:K31,3,FALSE)</f>
        <v>#VALUE!</v>
      </c>
      <c r="J21" s="36" t="e">
        <f>VLOOKUP(G21,'BIKE Information'!E21:K31,4,FALSE)</f>
        <v>#VALUE!</v>
      </c>
      <c r="K21" s="56" t="e">
        <f>VLOOKUP(G21,'BIKE Information'!E21:K31,7,FALSE)</f>
        <v>#VALUE!</v>
      </c>
      <c r="L21" s="36"/>
      <c r="M21" s="57" t="e">
        <f t="shared" si="0"/>
        <v>#VALUE!</v>
      </c>
    </row>
    <row r="22" spans="5:13" ht="15.75" thickBot="1">
      <c r="E22" s="39" t="e">
        <f>IF(F22="","",_xlfn.AGGREGATE(3,5,$F$13:F22))+500</f>
        <v>#VALUE!</v>
      </c>
      <c r="F22" s="51"/>
      <c r="G22" s="40" t="e">
        <v>#VALUE!</v>
      </c>
      <c r="H22" s="40" t="e">
        <f>VLOOKUP(G22,'BIKE Information'!E22:K32,2,FALSE)</f>
        <v>#VALUE!</v>
      </c>
      <c r="I22" s="40" t="e">
        <f>VLOOKUP(G22,'BIKE Information'!E22:K32,3,FALSE)</f>
        <v>#VALUE!</v>
      </c>
      <c r="J22" s="40" t="e">
        <f>VLOOKUP(G22,'BIKE Information'!E22:K32,4,FALSE)</f>
        <v>#VALUE!</v>
      </c>
      <c r="K22" s="58" t="e">
        <f>VLOOKUP(G22,'BIKE Information'!E22:K32,7,FALSE)</f>
        <v>#VALUE!</v>
      </c>
      <c r="L22" s="40"/>
      <c r="M22" s="59" t="e">
        <f t="shared" si="0"/>
        <v>#VALUE!</v>
      </c>
    </row>
  </sheetData>
  <mergeCells count="1">
    <mergeCell ref="F2:I4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'BIKE Information'!$E$14:$E$23</xm:f>
          </x14:formula1>
          <xm:sqref>G13:G22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E1:K23"/>
  <sheetViews>
    <sheetView workbookViewId="0"/>
  </sheetViews>
  <sheetFormatPr defaultRowHeight="15"/>
  <cols>
    <col min="5" max="5" width="15.42578125" customWidth="1"/>
    <col min="6" max="6" width="17.140625" customWidth="1"/>
    <col min="7" max="7" width="16.42578125" customWidth="1"/>
    <col min="8" max="8" width="19.85546875" customWidth="1"/>
    <col min="9" max="9" width="23.5703125" customWidth="1"/>
    <col min="10" max="10" width="19.7109375" customWidth="1"/>
    <col min="11" max="11" width="18.42578125" customWidth="1"/>
  </cols>
  <sheetData>
    <row r="1" spans="5:11" ht="15.75" thickBot="1"/>
    <row r="2" spans="5:11" ht="15.75" thickTop="1">
      <c r="F2" s="145"/>
      <c r="G2" s="146"/>
      <c r="H2" s="146"/>
      <c r="I2" s="147"/>
    </row>
    <row r="3" spans="5:11">
      <c r="F3" s="148"/>
      <c r="G3" s="149"/>
      <c r="H3" s="149"/>
      <c r="I3" s="150"/>
    </row>
    <row r="4" spans="5:11" ht="15.75" thickBot="1">
      <c r="F4" s="151"/>
      <c r="G4" s="152"/>
      <c r="H4" s="152"/>
      <c r="I4" s="153"/>
    </row>
    <row r="5" spans="5:11" ht="15.75" thickTop="1"/>
    <row r="12" spans="5:11" ht="15.75" thickBot="1"/>
    <row r="13" spans="5:11" ht="16.5" thickBot="1">
      <c r="E13" s="16" t="s">
        <v>17</v>
      </c>
      <c r="F13" s="17" t="s">
        <v>18</v>
      </c>
      <c r="G13" s="17" t="s">
        <v>19</v>
      </c>
      <c r="H13" s="17" t="s">
        <v>20</v>
      </c>
      <c r="I13" s="17" t="s">
        <v>38</v>
      </c>
      <c r="J13" s="17" t="s">
        <v>39</v>
      </c>
      <c r="K13" s="18" t="s">
        <v>40</v>
      </c>
    </row>
    <row r="14" spans="5:11">
      <c r="E14" s="30">
        <v>101</v>
      </c>
      <c r="F14" s="31">
        <f>VLOOKUP(E14,'BIKE Information'!E13:K23,2,FALSE)</f>
        <v>2001</v>
      </c>
      <c r="G14" s="31" t="str">
        <f>VLOOKUP(E14,'BIKE Information'!E13:K23,3,FALSE)</f>
        <v>RED</v>
      </c>
      <c r="H14" s="31" t="str">
        <f>VLOOKUP(E14,'BIKE Information'!E13:K23,4,FALSE)</f>
        <v>HONDA</v>
      </c>
      <c r="I14" s="31">
        <f>SUMIF('Purchase Information'!G14:G23,'Stock Information'!E14,'Purchase Information'!L14:L23)</f>
        <v>31</v>
      </c>
      <c r="J14" s="31">
        <f>SUMIF('Sale Information'!G13:G22,'Stock Information'!E14,'Sale Information'!L13:L22)</f>
        <v>12</v>
      </c>
      <c r="K14" s="60">
        <f>I14-J14</f>
        <v>19</v>
      </c>
    </row>
    <row r="15" spans="5:11">
      <c r="E15" s="35">
        <v>102</v>
      </c>
      <c r="F15" s="36">
        <f>VLOOKUP(E15,'BIKE Information'!E14:K24,2,FALSE)</f>
        <v>2003</v>
      </c>
      <c r="G15" s="36" t="str">
        <f>VLOOKUP(E15,'BIKE Information'!E14:K24,3,FALSE)</f>
        <v>GRAY</v>
      </c>
      <c r="H15" s="36" t="str">
        <f>VLOOKUP(E15,'BIKE Information'!E14:K24,4,FALSE)</f>
        <v>KAWASAKI</v>
      </c>
      <c r="I15" s="36">
        <f>SUMIF('Purchase Information'!G15:G24,'Stock Information'!E15,'Purchase Information'!L15:L24)</f>
        <v>11</v>
      </c>
      <c r="J15" s="36">
        <f>SUMIF('Sale Information'!G14:G23,'Stock Information'!E15,'Sale Information'!L14:L23)</f>
        <v>3</v>
      </c>
      <c r="K15" s="61">
        <f t="shared" ref="K15:K23" si="0">I15-J15</f>
        <v>8</v>
      </c>
    </row>
    <row r="16" spans="5:11">
      <c r="E16" s="35">
        <v>103</v>
      </c>
      <c r="F16" s="36">
        <f>VLOOKUP(E16,'BIKE Information'!E15:K25,2,FALSE)</f>
        <v>2004</v>
      </c>
      <c r="G16" s="36" t="str">
        <f>VLOOKUP(E16,'BIKE Information'!E15:K25,3,FALSE)</f>
        <v>BLACK</v>
      </c>
      <c r="H16" s="36" t="str">
        <f>VLOOKUP(E16,'BIKE Information'!E15:K25,4,FALSE)</f>
        <v>UNITED</v>
      </c>
      <c r="I16" s="36">
        <f>SUMIF('Purchase Information'!G16:G25,'Stock Information'!E16,'Purchase Information'!L16:L25)</f>
        <v>35</v>
      </c>
      <c r="J16" s="36">
        <f>SUMIF('Sale Information'!G15:G24,'Stock Information'!E16,'Sale Information'!L15:L24)</f>
        <v>22</v>
      </c>
      <c r="K16" s="61">
        <f t="shared" si="0"/>
        <v>13</v>
      </c>
    </row>
    <row r="17" spans="5:11">
      <c r="E17" s="35">
        <v>104</v>
      </c>
      <c r="F17" s="36">
        <f>VLOOKUP(E17,'BIKE Information'!E16:K26,2,FALSE)</f>
        <v>2006</v>
      </c>
      <c r="G17" s="36" t="str">
        <f>VLOOKUP(E17,'BIKE Information'!E16:K26,3,FALSE)</f>
        <v>RED</v>
      </c>
      <c r="H17" s="36" t="str">
        <f>VLOOKUP(E17,'BIKE Information'!E16:K26,4,FALSE)</f>
        <v>SUZUKI</v>
      </c>
      <c r="I17" s="36">
        <f>SUMIF('Purchase Information'!G17:G26,'Stock Information'!E17,'Purchase Information'!L17:L26)</f>
        <v>19</v>
      </c>
      <c r="J17" s="36">
        <f>SUMIF('Sale Information'!G16:G25,'Stock Information'!E17,'Sale Information'!L16:L25)</f>
        <v>9</v>
      </c>
      <c r="K17" s="61">
        <f t="shared" si="0"/>
        <v>10</v>
      </c>
    </row>
    <row r="18" spans="5:11">
      <c r="E18" s="35">
        <v>105</v>
      </c>
      <c r="F18" s="36">
        <f>VLOOKUP(E18,'BIKE Information'!E17:K27,2,FALSE)</f>
        <v>2007</v>
      </c>
      <c r="G18" s="36" t="str">
        <f>VLOOKUP(E18,'BIKE Information'!E17:K27,3,FALSE)</f>
        <v>GRAY</v>
      </c>
      <c r="H18" s="36" t="str">
        <f>VLOOKUP(E18,'BIKE Information'!E17:K27,4,FALSE)</f>
        <v>SOHRAB</v>
      </c>
      <c r="I18" s="36">
        <f>SUMIF('Purchase Information'!G18:G27,'Stock Information'!E18,'Purchase Information'!L18:L27)</f>
        <v>23</v>
      </c>
      <c r="J18" s="36">
        <f>SUMIF('Sale Information'!G17:G26,'Stock Information'!E18,'Sale Information'!L17:L26)</f>
        <v>14</v>
      </c>
      <c r="K18" s="61">
        <f t="shared" si="0"/>
        <v>9</v>
      </c>
    </row>
    <row r="19" spans="5:11">
      <c r="E19" s="35" t="e">
        <v>#VALUE!</v>
      </c>
      <c r="F19" s="36" t="e">
        <f>VLOOKUP(E19,'BIKE Information'!E18:K28,2,FALSE)</f>
        <v>#VALUE!</v>
      </c>
      <c r="G19" s="36" t="e">
        <f>VLOOKUP(E19,'BIKE Information'!E18:K28,3,FALSE)</f>
        <v>#VALUE!</v>
      </c>
      <c r="H19" s="36" t="e">
        <f>VLOOKUP(E19,'BIKE Information'!E18:K28,4,FALSE)</f>
        <v>#VALUE!</v>
      </c>
      <c r="I19" s="36">
        <f>SUMIF('Purchase Information'!G19:G28,'Stock Information'!E19,'Purchase Information'!L19:L28)</f>
        <v>0</v>
      </c>
      <c r="J19" s="36">
        <f>SUMIF('Sale Information'!G18:G27,'Stock Information'!E19,'Sale Information'!L18:L27)</f>
        <v>0</v>
      </c>
      <c r="K19" s="61">
        <f t="shared" si="0"/>
        <v>0</v>
      </c>
    </row>
    <row r="20" spans="5:11">
      <c r="E20" s="35" t="e">
        <v>#VALUE!</v>
      </c>
      <c r="F20" s="36" t="e">
        <f>VLOOKUP(E20,'BIKE Information'!E19:K29,2,FALSE)</f>
        <v>#VALUE!</v>
      </c>
      <c r="G20" s="36" t="e">
        <f>VLOOKUP(E20,'BIKE Information'!E19:K29,3,FALSE)</f>
        <v>#VALUE!</v>
      </c>
      <c r="H20" s="36" t="e">
        <f>VLOOKUP(E20,'BIKE Information'!E19:K29,4,FALSE)</f>
        <v>#VALUE!</v>
      </c>
      <c r="I20" s="36">
        <f>SUMIF('Purchase Information'!G20:G29,'Stock Information'!E20,'Purchase Information'!L20:L29)</f>
        <v>0</v>
      </c>
      <c r="J20" s="36">
        <f>SUMIF('Sale Information'!G19:G28,'Stock Information'!E20,'Sale Information'!L19:L28)</f>
        <v>0</v>
      </c>
      <c r="K20" s="61">
        <f t="shared" si="0"/>
        <v>0</v>
      </c>
    </row>
    <row r="21" spans="5:11">
      <c r="E21" s="35" t="e">
        <v>#VALUE!</v>
      </c>
      <c r="F21" s="36" t="e">
        <f>VLOOKUP(E21,'BIKE Information'!E20:K30,2,FALSE)</f>
        <v>#VALUE!</v>
      </c>
      <c r="G21" s="36" t="e">
        <f>VLOOKUP(E21,'BIKE Information'!E20:K30,3,FALSE)</f>
        <v>#VALUE!</v>
      </c>
      <c r="H21" s="36" t="e">
        <f>VLOOKUP(E21,'BIKE Information'!E20:K30,4,FALSE)</f>
        <v>#VALUE!</v>
      </c>
      <c r="I21" s="36">
        <f>SUMIF('Purchase Information'!G21:G30,'Stock Information'!E21,'Purchase Information'!L21:L30)</f>
        <v>0</v>
      </c>
      <c r="J21" s="36">
        <f>SUMIF('Sale Information'!G20:G29,'Stock Information'!E21,'Sale Information'!L20:L29)</f>
        <v>0</v>
      </c>
      <c r="K21" s="61">
        <f t="shared" si="0"/>
        <v>0</v>
      </c>
    </row>
    <row r="22" spans="5:11">
      <c r="E22" s="35" t="e">
        <v>#VALUE!</v>
      </c>
      <c r="F22" s="36" t="e">
        <f>VLOOKUP(E22,'BIKE Information'!E21:K31,2,FALSE)</f>
        <v>#VALUE!</v>
      </c>
      <c r="G22" s="36" t="e">
        <f>VLOOKUP(E22,'BIKE Information'!E21:K31,3,FALSE)</f>
        <v>#VALUE!</v>
      </c>
      <c r="H22" s="36" t="e">
        <f>VLOOKUP(E22,'BIKE Information'!E21:K31,4,FALSE)</f>
        <v>#VALUE!</v>
      </c>
      <c r="I22" s="36">
        <f>SUMIF('Purchase Information'!G22:G31,'Stock Information'!E22,'Purchase Information'!L22:L31)</f>
        <v>0</v>
      </c>
      <c r="J22" s="36">
        <f>SUMIF('Sale Information'!G21:G30,'Stock Information'!E22,'Sale Information'!L21:L30)</f>
        <v>0</v>
      </c>
      <c r="K22" s="61">
        <f t="shared" si="0"/>
        <v>0</v>
      </c>
    </row>
    <row r="23" spans="5:11" ht="15.75" thickBot="1">
      <c r="E23" s="39" t="e">
        <v>#VALUE!</v>
      </c>
      <c r="F23" s="40" t="e">
        <f>VLOOKUP(E23,'BIKE Information'!E22:K32,2,FALSE)</f>
        <v>#VALUE!</v>
      </c>
      <c r="G23" s="40" t="e">
        <f>VLOOKUP(E23,'BIKE Information'!E22:K32,3,FALSE)</f>
        <v>#VALUE!</v>
      </c>
      <c r="H23" s="40" t="e">
        <f>VLOOKUP(E23,'BIKE Information'!E22:K32,4,FALSE)</f>
        <v>#VALUE!</v>
      </c>
      <c r="I23" s="40">
        <f>SUMIF('Purchase Information'!G23:G32,'Stock Information'!E23,'Purchase Information'!L23:L32)</f>
        <v>0</v>
      </c>
      <c r="J23" s="40">
        <f>SUMIF('Sale Information'!G22:G31,'Stock Information'!E23,'Sale Information'!L22:L31)</f>
        <v>0</v>
      </c>
      <c r="K23" s="62">
        <f t="shared" si="0"/>
        <v>0</v>
      </c>
    </row>
  </sheetData>
  <mergeCells count="1">
    <mergeCell ref="F2:I4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'BIKE Information'!$E$14:$E$23</xm:f>
          </x14:formula1>
          <xm:sqref>E14:E23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7" tint="0.59999389629810485"/>
  </sheetPr>
  <dimension ref="B1:I20"/>
  <sheetViews>
    <sheetView zoomScaleNormal="100" workbookViewId="0"/>
  </sheetViews>
  <sheetFormatPr defaultRowHeight="15"/>
  <cols>
    <col min="2" max="2" width="23.140625" customWidth="1"/>
    <col min="3" max="3" width="19.7109375" customWidth="1"/>
    <col min="4" max="4" width="21.140625" customWidth="1"/>
    <col min="5" max="5" width="20.28515625" customWidth="1"/>
    <col min="6" max="6" width="23.28515625" customWidth="1"/>
    <col min="7" max="7" width="24" customWidth="1"/>
    <col min="8" max="8" width="18.140625" customWidth="1"/>
    <col min="9" max="9" width="27" customWidth="1"/>
    <col min="10" max="12" width="19.7109375" customWidth="1"/>
    <col min="13" max="13" width="11.28515625" customWidth="1"/>
  </cols>
  <sheetData>
    <row r="1" spans="2:9" ht="15.75" thickBot="1">
      <c r="C1" s="28"/>
    </row>
    <row r="2" spans="2:9">
      <c r="D2" s="163"/>
      <c r="E2" s="164"/>
      <c r="F2" s="164"/>
      <c r="G2" s="165"/>
    </row>
    <row r="3" spans="2:9">
      <c r="D3" s="166"/>
      <c r="E3" s="167"/>
      <c r="F3" s="167"/>
      <c r="G3" s="168"/>
    </row>
    <row r="4" spans="2:9" ht="15.75" thickBot="1">
      <c r="D4" s="169"/>
      <c r="E4" s="170"/>
      <c r="F4" s="170"/>
      <c r="G4" s="171"/>
    </row>
    <row r="5" spans="2:9" ht="22.5">
      <c r="D5" s="14"/>
      <c r="E5" s="14"/>
      <c r="F5" s="14"/>
      <c r="G5" s="14"/>
    </row>
    <row r="6" spans="2:9" ht="15.75" customHeight="1"/>
    <row r="7" spans="2:9" ht="22.5" customHeight="1"/>
    <row r="12" spans="2:9">
      <c r="B12" s="65" t="s">
        <v>31</v>
      </c>
      <c r="C12" s="13" t="s">
        <v>41</v>
      </c>
      <c r="D12" s="13"/>
      <c r="E12" s="13"/>
      <c r="F12" s="13"/>
      <c r="G12" s="13"/>
      <c r="H12" s="13"/>
      <c r="I12" s="13"/>
    </row>
    <row r="13" spans="2:9">
      <c r="B13" s="13"/>
      <c r="C13" s="13"/>
      <c r="D13" s="13"/>
      <c r="E13" s="13"/>
      <c r="F13" s="13"/>
      <c r="G13" s="13"/>
      <c r="H13" s="13"/>
      <c r="I13" s="13"/>
    </row>
    <row r="14" spans="2:9" ht="18.75">
      <c r="B14" s="69" t="s">
        <v>30</v>
      </c>
      <c r="C14" s="69" t="s">
        <v>17</v>
      </c>
      <c r="D14" s="69" t="s">
        <v>18</v>
      </c>
      <c r="E14" s="69" t="s">
        <v>19</v>
      </c>
      <c r="F14" s="69" t="s">
        <v>20</v>
      </c>
      <c r="G14" s="69" t="s">
        <v>21</v>
      </c>
      <c r="H14" s="21" t="s">
        <v>50</v>
      </c>
      <c r="I14" s="21" t="s">
        <v>43</v>
      </c>
    </row>
    <row r="15" spans="2:9">
      <c r="B15" s="19">
        <v>301</v>
      </c>
      <c r="C15" s="19">
        <v>101</v>
      </c>
      <c r="D15" s="19">
        <v>2001</v>
      </c>
      <c r="E15" s="19" t="s">
        <v>24</v>
      </c>
      <c r="F15" s="19" t="s">
        <v>27</v>
      </c>
      <c r="G15" s="70">
        <v>55000</v>
      </c>
      <c r="H15" s="66">
        <v>31</v>
      </c>
      <c r="I15" s="67">
        <v>1705000</v>
      </c>
    </row>
    <row r="16" spans="2:9">
      <c r="B16" s="19">
        <v>302</v>
      </c>
      <c r="C16" s="19">
        <v>102</v>
      </c>
      <c r="D16" s="19">
        <v>2003</v>
      </c>
      <c r="E16" s="19" t="s">
        <v>26</v>
      </c>
      <c r="F16" s="19" t="s">
        <v>29</v>
      </c>
      <c r="G16" s="70">
        <v>75000</v>
      </c>
      <c r="H16" s="66">
        <v>11</v>
      </c>
      <c r="I16" s="67">
        <v>825000</v>
      </c>
    </row>
    <row r="17" spans="2:9">
      <c r="B17" s="19">
        <v>303</v>
      </c>
      <c r="C17" s="19">
        <v>103</v>
      </c>
      <c r="D17" s="19">
        <v>2004</v>
      </c>
      <c r="E17" s="19" t="s">
        <v>24</v>
      </c>
      <c r="F17" s="19" t="s">
        <v>34</v>
      </c>
      <c r="G17" s="70">
        <v>45000</v>
      </c>
      <c r="H17" s="66">
        <v>35</v>
      </c>
      <c r="I17" s="67">
        <v>1575000</v>
      </c>
    </row>
    <row r="18" spans="2:9">
      <c r="B18" s="19">
        <v>304</v>
      </c>
      <c r="C18" s="19">
        <v>104</v>
      </c>
      <c r="D18" s="19">
        <v>2006</v>
      </c>
      <c r="E18" s="19" t="s">
        <v>25</v>
      </c>
      <c r="F18" s="19" t="s">
        <v>28</v>
      </c>
      <c r="G18" s="70">
        <v>65000</v>
      </c>
      <c r="H18" s="66">
        <v>19</v>
      </c>
      <c r="I18" s="67">
        <v>1235000</v>
      </c>
    </row>
    <row r="19" spans="2:9">
      <c r="B19" s="19">
        <v>305</v>
      </c>
      <c r="C19" s="19">
        <v>105</v>
      </c>
      <c r="D19" s="19">
        <v>2007</v>
      </c>
      <c r="E19" s="19" t="s">
        <v>26</v>
      </c>
      <c r="F19" s="19" t="s">
        <v>35</v>
      </c>
      <c r="G19" s="70">
        <v>48000</v>
      </c>
      <c r="H19" s="66">
        <v>23</v>
      </c>
      <c r="I19" s="67">
        <v>1104000</v>
      </c>
    </row>
    <row r="20" spans="2:9" ht="18.75">
      <c r="B20" s="68" t="s">
        <v>42</v>
      </c>
      <c r="C20" s="68"/>
      <c r="D20" s="68"/>
      <c r="E20" s="68"/>
      <c r="F20" s="68"/>
      <c r="G20" s="68"/>
      <c r="H20" s="71">
        <v>119</v>
      </c>
      <c r="I20" s="72">
        <v>6444000</v>
      </c>
    </row>
  </sheetData>
  <mergeCells count="1">
    <mergeCell ref="D2:G4"/>
  </mergeCells>
  <pageMargins left="0.7" right="0.7" top="0.75" bottom="0.75" header="0.3" footer="0.3"/>
  <pageSetup scale="44" orientation="portrait" r:id="rId2"/>
  <drawing r:id="rId3"/>
  <legacyDrawing r:id="rId4"/>
  <controls>
    <mc:AlternateContent xmlns:mc="http://schemas.openxmlformats.org/markup-compatibility/2006">
      <mc:Choice Requires="x14">
        <control shapeId="7169" r:id="rId5" name="CommandButton1">
          <controlPr defaultSize="0" autoLine="0" r:id="rId6">
            <anchor moveWithCells="1">
              <from>
                <xdr:col>6</xdr:col>
                <xdr:colOff>0</xdr:colOff>
                <xdr:row>5</xdr:row>
                <xdr:rowOff>190500</xdr:rowOff>
              </from>
              <to>
                <xdr:col>7</xdr:col>
                <xdr:colOff>28575</xdr:colOff>
                <xdr:row>8</xdr:row>
                <xdr:rowOff>0</xdr:rowOff>
              </to>
            </anchor>
          </controlPr>
        </control>
      </mc:Choice>
      <mc:Fallback>
        <control shapeId="7169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4"/>
  </sheetPr>
  <dimension ref="B1:I22"/>
  <sheetViews>
    <sheetView zoomScaleNormal="100" workbookViewId="0"/>
  </sheetViews>
  <sheetFormatPr defaultRowHeight="15"/>
  <cols>
    <col min="2" max="2" width="18.85546875" customWidth="1"/>
    <col min="3" max="3" width="17.28515625" customWidth="1"/>
    <col min="4" max="4" width="19.85546875" customWidth="1"/>
    <col min="5" max="5" width="19.5703125" customWidth="1"/>
    <col min="6" max="6" width="24.28515625" customWidth="1"/>
    <col min="7" max="7" width="18" customWidth="1"/>
    <col min="8" max="8" width="16.5703125" customWidth="1"/>
    <col min="9" max="9" width="27" customWidth="1"/>
  </cols>
  <sheetData>
    <row r="1" spans="2:9" ht="15.75" thickBot="1"/>
    <row r="2" spans="2:9">
      <c r="D2" s="172"/>
      <c r="E2" s="173"/>
      <c r="F2" s="173"/>
      <c r="G2" s="174"/>
    </row>
    <row r="3" spans="2:9">
      <c r="D3" s="175"/>
      <c r="E3" s="176"/>
      <c r="F3" s="176"/>
      <c r="G3" s="177"/>
    </row>
    <row r="4" spans="2:9" ht="15.75" thickBot="1">
      <c r="D4" s="178"/>
      <c r="E4" s="179"/>
      <c r="F4" s="179"/>
      <c r="G4" s="180"/>
    </row>
    <row r="5" spans="2:9" ht="29.25" customHeight="1"/>
    <row r="6" spans="2:9" ht="21" customHeight="1"/>
    <row r="7" spans="2:9" ht="27.75" customHeight="1"/>
    <row r="14" spans="2:9">
      <c r="B14" s="64" t="s">
        <v>37</v>
      </c>
      <c r="C14" t="s">
        <v>41</v>
      </c>
    </row>
    <row r="16" spans="2:9" ht="18.75">
      <c r="B16" s="69" t="s">
        <v>36</v>
      </c>
      <c r="C16" s="69" t="s">
        <v>17</v>
      </c>
      <c r="D16" s="69" t="s">
        <v>18</v>
      </c>
      <c r="E16" s="69" t="s">
        <v>19</v>
      </c>
      <c r="F16" s="69" t="s">
        <v>20</v>
      </c>
      <c r="G16" s="73" t="s">
        <v>23</v>
      </c>
      <c r="H16" s="76" t="s">
        <v>50</v>
      </c>
      <c r="I16" s="21" t="s">
        <v>43</v>
      </c>
    </row>
    <row r="17" spans="2:9" ht="18.75">
      <c r="B17" s="19">
        <v>501</v>
      </c>
      <c r="C17" s="19">
        <v>101</v>
      </c>
      <c r="D17" s="19">
        <v>2001</v>
      </c>
      <c r="E17" s="19" t="s">
        <v>24</v>
      </c>
      <c r="F17" s="19" t="s">
        <v>27</v>
      </c>
      <c r="G17" s="77">
        <v>61050</v>
      </c>
      <c r="H17" s="74">
        <v>12</v>
      </c>
      <c r="I17" s="75">
        <v>732600</v>
      </c>
    </row>
    <row r="18" spans="2:9" ht="18.75">
      <c r="B18" s="19">
        <v>502</v>
      </c>
      <c r="C18" s="19">
        <v>102</v>
      </c>
      <c r="D18" s="19">
        <v>2003</v>
      </c>
      <c r="E18" s="19" t="s">
        <v>26</v>
      </c>
      <c r="F18" s="19" t="s">
        <v>29</v>
      </c>
      <c r="G18" s="77">
        <v>78750</v>
      </c>
      <c r="H18" s="74">
        <v>3</v>
      </c>
      <c r="I18" s="75">
        <v>236250</v>
      </c>
    </row>
    <row r="19" spans="2:9" ht="18.75">
      <c r="B19" s="19">
        <v>503</v>
      </c>
      <c r="C19" s="19">
        <v>103</v>
      </c>
      <c r="D19" s="19">
        <v>2004</v>
      </c>
      <c r="E19" s="19" t="s">
        <v>24</v>
      </c>
      <c r="F19" s="19" t="s">
        <v>34</v>
      </c>
      <c r="G19" s="77">
        <v>49500</v>
      </c>
      <c r="H19" s="74">
        <v>22</v>
      </c>
      <c r="I19" s="75">
        <v>1089000</v>
      </c>
    </row>
    <row r="20" spans="2:9" ht="18.75">
      <c r="B20" s="19">
        <v>504</v>
      </c>
      <c r="C20" s="19">
        <v>104</v>
      </c>
      <c r="D20" s="19">
        <v>2006</v>
      </c>
      <c r="E20" s="19" t="s">
        <v>25</v>
      </c>
      <c r="F20" s="19" t="s">
        <v>28</v>
      </c>
      <c r="G20" s="77">
        <v>70200</v>
      </c>
      <c r="H20" s="74">
        <v>9</v>
      </c>
      <c r="I20" s="75">
        <v>631800</v>
      </c>
    </row>
    <row r="21" spans="2:9" ht="18.75">
      <c r="B21" s="19">
        <v>505</v>
      </c>
      <c r="C21" s="19">
        <v>105</v>
      </c>
      <c r="D21" s="19">
        <v>2007</v>
      </c>
      <c r="E21" s="19" t="s">
        <v>26</v>
      </c>
      <c r="F21" s="19" t="s">
        <v>35</v>
      </c>
      <c r="G21" s="77">
        <v>50880</v>
      </c>
      <c r="H21" s="74">
        <v>14</v>
      </c>
      <c r="I21" s="75">
        <v>712320</v>
      </c>
    </row>
    <row r="22" spans="2:9" ht="18.75">
      <c r="B22" s="68" t="s">
        <v>42</v>
      </c>
      <c r="C22" s="68"/>
      <c r="D22" s="68"/>
      <c r="E22" s="68"/>
      <c r="F22" s="68"/>
      <c r="G22" s="68"/>
      <c r="H22" s="74">
        <v>60</v>
      </c>
      <c r="I22" s="75">
        <v>3401970</v>
      </c>
    </row>
  </sheetData>
  <mergeCells count="1">
    <mergeCell ref="D2:G4"/>
  </mergeCells>
  <pageMargins left="0.7" right="0.7" top="0.75" bottom="0.75" header="0.3" footer="0.3"/>
  <pageSetup scale="48" orientation="portrait" r:id="rId2"/>
  <drawing r:id="rId3"/>
  <legacyDrawing r:id="rId4"/>
  <controls>
    <mc:AlternateContent xmlns:mc="http://schemas.openxmlformats.org/markup-compatibility/2006">
      <mc:Choice Requires="x14">
        <control shapeId="8193" r:id="rId5" name="CommandButton1">
          <controlPr defaultSize="0" autoLine="0" autoPict="0" r:id="rId6">
            <anchor moveWithCells="1">
              <from>
                <xdr:col>4</xdr:col>
                <xdr:colOff>1304925</xdr:colOff>
                <xdr:row>6</xdr:row>
                <xdr:rowOff>342900</xdr:rowOff>
              </from>
              <to>
                <xdr:col>6</xdr:col>
                <xdr:colOff>0</xdr:colOff>
                <xdr:row>9</xdr:row>
                <xdr:rowOff>9525</xdr:rowOff>
              </to>
            </anchor>
          </controlPr>
        </control>
      </mc:Choice>
      <mc:Fallback>
        <control shapeId="8193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CC00FF"/>
  </sheetPr>
  <dimension ref="A1:G34"/>
  <sheetViews>
    <sheetView zoomScaleNormal="100" workbookViewId="0"/>
  </sheetViews>
  <sheetFormatPr defaultRowHeight="15"/>
  <cols>
    <col min="1" max="1" width="9.140625" style="12"/>
    <col min="2" max="2" width="19" style="12" customWidth="1"/>
    <col min="3" max="3" width="22.5703125" style="12" customWidth="1"/>
    <col min="4" max="4" width="22.85546875" style="12" customWidth="1"/>
    <col min="5" max="5" width="35.42578125" style="12" customWidth="1"/>
    <col min="6" max="6" width="31.5703125" style="12" customWidth="1"/>
    <col min="7" max="7" width="44.42578125" style="12" customWidth="1"/>
    <col min="8" max="8" width="9.140625" style="12"/>
    <col min="9" max="9" width="22" style="12" customWidth="1"/>
    <col min="10" max="16384" width="9.140625" style="12"/>
  </cols>
  <sheetData>
    <row r="1" spans="1:7" ht="15.75" thickBot="1">
      <c r="A1" s="20"/>
    </row>
    <row r="2" spans="1:7">
      <c r="D2" s="172"/>
      <c r="E2" s="181"/>
      <c r="F2" s="182"/>
    </row>
    <row r="3" spans="1:7">
      <c r="D3" s="183"/>
      <c r="E3" s="184"/>
      <c r="F3" s="185"/>
    </row>
    <row r="4" spans="1:7" ht="15.75" thickBot="1">
      <c r="D4" s="186"/>
      <c r="E4" s="187"/>
      <c r="F4" s="188"/>
    </row>
    <row r="5" spans="1:7" ht="29.25" customHeight="1"/>
    <row r="6" spans="1:7" ht="18.75" customHeight="1"/>
    <row r="7" spans="1:7" ht="28.5" customHeight="1"/>
    <row r="14" spans="1:7" ht="18.75">
      <c r="B14" s="23" t="s">
        <v>18</v>
      </c>
      <c r="C14" s="23" t="s">
        <v>41</v>
      </c>
    </row>
    <row r="16" spans="1:7" ht="18.75">
      <c r="B16" s="22" t="s">
        <v>17</v>
      </c>
      <c r="C16" s="22" t="s">
        <v>19</v>
      </c>
      <c r="D16" s="22" t="s">
        <v>20</v>
      </c>
      <c r="E16" s="63" t="s">
        <v>45</v>
      </c>
      <c r="F16" s="63" t="s">
        <v>46</v>
      </c>
      <c r="G16" s="63" t="s">
        <v>44</v>
      </c>
    </row>
    <row r="17" spans="2:7">
      <c r="B17" s="26">
        <v>101</v>
      </c>
      <c r="C17" s="26" t="s">
        <v>24</v>
      </c>
      <c r="D17" s="26" t="s">
        <v>27</v>
      </c>
      <c r="E17" s="27">
        <v>31</v>
      </c>
      <c r="F17" s="27">
        <v>12</v>
      </c>
      <c r="G17" s="27">
        <v>19</v>
      </c>
    </row>
    <row r="18" spans="2:7">
      <c r="B18" s="26">
        <v>102</v>
      </c>
      <c r="C18" s="26" t="s">
        <v>26</v>
      </c>
      <c r="D18" s="26" t="s">
        <v>29</v>
      </c>
      <c r="E18" s="27">
        <v>11</v>
      </c>
      <c r="F18" s="27">
        <v>3</v>
      </c>
      <c r="G18" s="27">
        <v>8</v>
      </c>
    </row>
    <row r="19" spans="2:7">
      <c r="B19" s="26">
        <v>103</v>
      </c>
      <c r="C19" s="26" t="s">
        <v>24</v>
      </c>
      <c r="D19" s="26" t="s">
        <v>34</v>
      </c>
      <c r="E19" s="27">
        <v>35</v>
      </c>
      <c r="F19" s="27">
        <v>22</v>
      </c>
      <c r="G19" s="27">
        <v>13</v>
      </c>
    </row>
    <row r="20" spans="2:7">
      <c r="B20" s="26">
        <v>104</v>
      </c>
      <c r="C20" s="26" t="s">
        <v>25</v>
      </c>
      <c r="D20" s="26" t="s">
        <v>28</v>
      </c>
      <c r="E20" s="27">
        <v>19</v>
      </c>
      <c r="F20" s="27">
        <v>9</v>
      </c>
      <c r="G20" s="27">
        <v>10</v>
      </c>
    </row>
    <row r="21" spans="2:7">
      <c r="B21" s="26">
        <v>105</v>
      </c>
      <c r="C21" s="26" t="s">
        <v>26</v>
      </c>
      <c r="D21" s="26" t="s">
        <v>35</v>
      </c>
      <c r="E21" s="27">
        <v>23</v>
      </c>
      <c r="F21" s="27">
        <v>14</v>
      </c>
      <c r="G21" s="27">
        <v>9</v>
      </c>
    </row>
    <row r="22" spans="2:7" ht="18.75">
      <c r="B22" s="24" t="s">
        <v>42</v>
      </c>
      <c r="C22" s="24"/>
      <c r="D22" s="24"/>
      <c r="E22" s="25">
        <v>119</v>
      </c>
      <c r="F22" s="25">
        <v>60</v>
      </c>
      <c r="G22" s="25">
        <v>59</v>
      </c>
    </row>
    <row r="23" spans="2:7">
      <c r="B23"/>
      <c r="C23"/>
      <c r="D23"/>
      <c r="E23"/>
      <c r="F23"/>
    </row>
    <row r="24" spans="2:7">
      <c r="B24"/>
      <c r="C24"/>
      <c r="D24"/>
      <c r="E24"/>
      <c r="F24"/>
    </row>
    <row r="25" spans="2:7">
      <c r="B25"/>
      <c r="C25"/>
      <c r="D25"/>
      <c r="E25"/>
      <c r="F25"/>
    </row>
    <row r="26" spans="2:7">
      <c r="B26"/>
      <c r="C26"/>
      <c r="D26"/>
      <c r="E26"/>
      <c r="F26"/>
    </row>
    <row r="27" spans="2:7">
      <c r="B27"/>
      <c r="C27"/>
      <c r="D27"/>
      <c r="E27"/>
      <c r="F27"/>
    </row>
    <row r="28" spans="2:7">
      <c r="B28"/>
      <c r="C28"/>
      <c r="D28"/>
      <c r="E28"/>
      <c r="F28"/>
    </row>
    <row r="29" spans="2:7">
      <c r="B29"/>
      <c r="C29"/>
      <c r="D29"/>
      <c r="E29"/>
      <c r="F29"/>
    </row>
    <row r="30" spans="2:7">
      <c r="B30"/>
      <c r="C30"/>
      <c r="D30"/>
      <c r="E30"/>
      <c r="F30"/>
    </row>
    <row r="31" spans="2:7">
      <c r="B31"/>
      <c r="C31"/>
      <c r="D31"/>
      <c r="E31"/>
      <c r="F31"/>
    </row>
    <row r="32" spans="2:7">
      <c r="B32"/>
      <c r="C32"/>
      <c r="D32"/>
      <c r="E32"/>
      <c r="F32"/>
    </row>
    <row r="33" spans="2:6">
      <c r="B33"/>
      <c r="C33"/>
      <c r="D33"/>
      <c r="E33"/>
      <c r="F33"/>
    </row>
    <row r="34" spans="2:6">
      <c r="B34"/>
      <c r="C34"/>
      <c r="D34"/>
      <c r="E34"/>
      <c r="F34"/>
    </row>
  </sheetData>
  <mergeCells count="1">
    <mergeCell ref="D2:F4"/>
  </mergeCells>
  <pageMargins left="0.7" right="0.7" top="0.75" bottom="0.75" header="0.3" footer="0.3"/>
  <pageSetup scale="46" orientation="portrait" r:id="rId2"/>
  <drawing r:id="rId3"/>
  <legacyDrawing r:id="rId4"/>
  <controls>
    <mc:AlternateContent xmlns:mc="http://schemas.openxmlformats.org/markup-compatibility/2006">
      <mc:Choice Requires="x14">
        <control shapeId="9220" r:id="rId5" name="CommandButton4">
          <controlPr defaultSize="0" autoLine="0" r:id="rId6">
            <anchor moveWithCells="1">
              <from>
                <xdr:col>4</xdr:col>
                <xdr:colOff>2352675</xdr:colOff>
                <xdr:row>8</xdr:row>
                <xdr:rowOff>180975</xdr:rowOff>
              </from>
              <to>
                <xdr:col>6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9220" r:id="rId5" name="CommandButton4"/>
      </mc:Fallback>
    </mc:AlternateContent>
    <mc:AlternateContent xmlns:mc="http://schemas.openxmlformats.org/markup-compatibility/2006">
      <mc:Choice Requires="x14">
        <control shapeId="9219" r:id="rId7" name="CommandButton3">
          <controlPr autoLine="0" r:id="rId8">
            <anchor moveWithCells="1">
              <from>
                <xdr:col>3</xdr:col>
                <xdr:colOff>0</xdr:colOff>
                <xdr:row>9</xdr:row>
                <xdr:rowOff>0</xdr:rowOff>
              </from>
              <to>
                <xdr:col>4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9219" r:id="rId7" name="CommandButton3"/>
      </mc:Fallback>
    </mc:AlternateContent>
    <mc:AlternateContent xmlns:mc="http://schemas.openxmlformats.org/markup-compatibility/2006">
      <mc:Choice Requires="x14">
        <control shapeId="9218" r:id="rId9" name="CommandButton2">
          <controlPr defaultSize="0" autoLine="0" r:id="rId10">
            <anchor moveWithCells="1">
              <from>
                <xdr:col>3</xdr:col>
                <xdr:colOff>0</xdr:colOff>
                <xdr:row>6</xdr:row>
                <xdr:rowOff>0</xdr:rowOff>
              </from>
              <to>
                <xdr:col>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9218" r:id="rId9" name="CommandButton2"/>
      </mc:Fallback>
    </mc:AlternateContent>
    <mc:AlternateContent xmlns:mc="http://schemas.openxmlformats.org/markup-compatibility/2006">
      <mc:Choice Requires="x14">
        <control shapeId="9217" r:id="rId11" name="CommandButton1">
          <controlPr defaultSize="0" autoLine="0" r:id="rId12">
            <anchor moveWithCells="1">
              <from>
                <xdr:col>5</xdr:col>
                <xdr:colOff>0</xdr:colOff>
                <xdr:row>5</xdr:row>
                <xdr:rowOff>228600</xdr:rowOff>
              </from>
              <to>
                <xdr:col>6</xdr:col>
                <xdr:colOff>9525</xdr:colOff>
                <xdr:row>7</xdr:row>
                <xdr:rowOff>0</xdr:rowOff>
              </to>
            </anchor>
          </controlPr>
        </control>
      </mc:Choice>
      <mc:Fallback>
        <control shapeId="9217" r:id="rId11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COVER-PAGE</vt:lpstr>
      <vt:lpstr>HOME-PAGE</vt:lpstr>
      <vt:lpstr>BIKE Information</vt:lpstr>
      <vt:lpstr>Purchase Information</vt:lpstr>
      <vt:lpstr>Sale Information</vt:lpstr>
      <vt:lpstr>Stock Information</vt:lpstr>
      <vt:lpstr>Report of Purchase Information</vt:lpstr>
      <vt:lpstr>Report of Sale Information</vt:lpstr>
      <vt:lpstr>Report of Stock Information</vt:lpstr>
      <vt:lpstr>'Report of Purchase Information'!Print_Area</vt:lpstr>
      <vt:lpstr>'Report of Sale Information'!Print_Area</vt:lpstr>
      <vt:lpstr>'Report of Stock Information'!Print_Area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2022-01-30T16:54:25Z</dcterms:modified>
</cp:coreProperties>
</file>